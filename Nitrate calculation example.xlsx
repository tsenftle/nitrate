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3cf430a7516c4/Documents/"/>
    </mc:Choice>
  </mc:AlternateContent>
  <xr:revisionPtr revIDLastSave="3" documentId="8_{EAD088A9-8F34-44D7-B422-E401B86C0B70}" xr6:coauthVersionLast="47" xr6:coauthVersionMax="47" xr10:uidLastSave="{573817EC-2633-4213-A7DB-F61D321C0937}"/>
  <bookViews>
    <workbookView xWindow="-110" yWindow="-110" windowWidth="22780" windowHeight="14540" activeTab="3" xr2:uid="{2B201CAE-5621-4873-A1B0-FEE02BDA027B}"/>
  </bookViews>
  <sheets>
    <sheet name="electrochemical selectivity" sheetId="4" r:id="rId1"/>
    <sheet name="reaction diagram correct_Pd" sheetId="3" r:id="rId2"/>
    <sheet name="reaction diagram correct_Cu" sheetId="2" r:id="rId3"/>
    <sheet name="Sheet1" sheetId="1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K11" i="2"/>
  <c r="W10" i="3"/>
  <c r="T20" i="4"/>
  <c r="S20" i="4"/>
  <c r="I30" i="4"/>
  <c r="I29" i="4"/>
  <c r="M28" i="4"/>
  <c r="N28" i="4" s="1"/>
  <c r="I28" i="4"/>
  <c r="M27" i="4" s="1"/>
  <c r="I27" i="4"/>
  <c r="I23" i="4"/>
  <c r="M21" i="4" s="1"/>
  <c r="I22" i="4"/>
  <c r="I21" i="4"/>
  <c r="M20" i="4" s="1"/>
  <c r="I20" i="4"/>
  <c r="I15" i="4"/>
  <c r="M13" i="4" s="1"/>
  <c r="I14" i="4"/>
  <c r="I13" i="4"/>
  <c r="M12" i="4" s="1"/>
  <c r="I12" i="4"/>
  <c r="I7" i="4"/>
  <c r="I6" i="4"/>
  <c r="M4" i="4" s="1"/>
  <c r="I4" i="4"/>
  <c r="M3" i="4" s="1"/>
  <c r="I3" i="4"/>
  <c r="S54" i="3"/>
  <c r="H54" i="3"/>
  <c r="S45" i="3"/>
  <c r="H45" i="3"/>
  <c r="S35" i="3"/>
  <c r="H35" i="3"/>
  <c r="S26" i="3"/>
  <c r="H26" i="3"/>
  <c r="U23" i="3"/>
  <c r="J23" i="3"/>
  <c r="U22" i="3"/>
  <c r="J22" i="3"/>
  <c r="B28" i="3" s="1"/>
  <c r="U21" i="3"/>
  <c r="M60" i="3" s="1"/>
  <c r="J21" i="3"/>
  <c r="U20" i="3"/>
  <c r="M59" i="3" s="1"/>
  <c r="J20" i="3"/>
  <c r="B59" i="3" s="1"/>
  <c r="U19" i="3"/>
  <c r="M58" i="3" s="1"/>
  <c r="J19" i="3"/>
  <c r="U18" i="3"/>
  <c r="J18" i="3"/>
  <c r="U17" i="3"/>
  <c r="M41" i="3" s="1"/>
  <c r="J17" i="3"/>
  <c r="B50" i="3" s="1"/>
  <c r="U16" i="3"/>
  <c r="M49" i="3" s="1"/>
  <c r="J16" i="3"/>
  <c r="B38" i="3" s="1"/>
  <c r="U15" i="3"/>
  <c r="J15" i="3"/>
  <c r="U14" i="3"/>
  <c r="J14" i="3"/>
  <c r="U13" i="3"/>
  <c r="J13" i="3"/>
  <c r="U12" i="3"/>
  <c r="M46" i="3" s="1"/>
  <c r="J12" i="3"/>
  <c r="B47" i="3" s="1"/>
  <c r="U11" i="3"/>
  <c r="J11" i="3"/>
  <c r="U10" i="3"/>
  <c r="W11" i="3" s="1"/>
  <c r="J10" i="3"/>
  <c r="U9" i="3"/>
  <c r="R7" i="3"/>
  <c r="Q7" i="3"/>
  <c r="F7" i="3"/>
  <c r="G7" i="3" s="1"/>
  <c r="Q6" i="3"/>
  <c r="R6" i="3" s="1"/>
  <c r="M63" i="3" s="1"/>
  <c r="F6" i="3"/>
  <c r="G6" i="3" s="1"/>
  <c r="R5" i="3"/>
  <c r="M64" i="3" s="1"/>
  <c r="Q5" i="3"/>
  <c r="F5" i="3"/>
  <c r="G5" i="3" s="1"/>
  <c r="B64" i="3" s="1"/>
  <c r="Q4" i="3"/>
  <c r="R4" i="3" s="1"/>
  <c r="F4" i="3"/>
  <c r="G4" i="3" s="1"/>
  <c r="R3" i="3"/>
  <c r="Q3" i="3"/>
  <c r="F3" i="3"/>
  <c r="G3" i="3" s="1"/>
  <c r="B58" i="3" s="1"/>
  <c r="Q2" i="3"/>
  <c r="R2" i="3" s="1"/>
  <c r="F2" i="3"/>
  <c r="G2" i="3" s="1"/>
  <c r="B59" i="2"/>
  <c r="M58" i="2"/>
  <c r="S54" i="2"/>
  <c r="H54" i="2"/>
  <c r="S45" i="2"/>
  <c r="H45" i="2"/>
  <c r="M38" i="2"/>
  <c r="S35" i="2"/>
  <c r="H35" i="2"/>
  <c r="S26" i="2"/>
  <c r="H26" i="2"/>
  <c r="U23" i="2"/>
  <c r="J23" i="2"/>
  <c r="U22" i="2"/>
  <c r="J22" i="2"/>
  <c r="B38" i="2" s="1"/>
  <c r="S21" i="2"/>
  <c r="U21" i="2" s="1"/>
  <c r="R21" i="2"/>
  <c r="H21" i="2"/>
  <c r="G21" i="2"/>
  <c r="J21" i="2" s="1"/>
  <c r="K21" i="2" s="1"/>
  <c r="U20" i="2"/>
  <c r="M59" i="2" s="1"/>
  <c r="J20" i="2"/>
  <c r="K20" i="2" s="1"/>
  <c r="U19" i="2"/>
  <c r="J19" i="2"/>
  <c r="U18" i="2"/>
  <c r="K18" i="2"/>
  <c r="J18" i="2"/>
  <c r="U17" i="2"/>
  <c r="J17" i="2"/>
  <c r="U16" i="2"/>
  <c r="M31" i="2" s="1"/>
  <c r="J16" i="2"/>
  <c r="B31" i="2" s="1"/>
  <c r="U15" i="2"/>
  <c r="V15" i="2" s="1"/>
  <c r="J15" i="2"/>
  <c r="U14" i="2"/>
  <c r="J14" i="2"/>
  <c r="U13" i="2"/>
  <c r="J13" i="2"/>
  <c r="U12" i="2"/>
  <c r="J12" i="2"/>
  <c r="U11" i="2"/>
  <c r="V11" i="2" s="1"/>
  <c r="J11" i="2"/>
  <c r="U10" i="2"/>
  <c r="J10" i="2"/>
  <c r="U9" i="2"/>
  <c r="M43" i="2" s="1"/>
  <c r="Q7" i="2"/>
  <c r="R7" i="2" s="1"/>
  <c r="F7" i="2"/>
  <c r="G7" i="2" s="1"/>
  <c r="Q6" i="2"/>
  <c r="R6" i="2" s="1"/>
  <c r="F6" i="2"/>
  <c r="G6" i="2" s="1"/>
  <c r="Q5" i="2"/>
  <c r="R5" i="2" s="1"/>
  <c r="G5" i="2"/>
  <c r="B64" i="2" s="1"/>
  <c r="F5" i="2"/>
  <c r="R4" i="2"/>
  <c r="M57" i="2" s="1"/>
  <c r="Q4" i="2"/>
  <c r="F4" i="2"/>
  <c r="G4" i="2" s="1"/>
  <c r="Q3" i="2"/>
  <c r="R3" i="2" s="1"/>
  <c r="F3" i="2"/>
  <c r="G3" i="2" s="1"/>
  <c r="B58" i="2" s="1"/>
  <c r="Q2" i="2"/>
  <c r="R2" i="2" s="1"/>
  <c r="F2" i="2"/>
  <c r="G2" i="2" s="1"/>
  <c r="T4" i="4" l="1"/>
  <c r="N4" i="4"/>
  <c r="P4" i="4"/>
  <c r="S4" i="4" s="1"/>
  <c r="T27" i="4"/>
  <c r="N27" i="4"/>
  <c r="P27" i="4"/>
  <c r="S27" i="4" s="1"/>
  <c r="P3" i="4"/>
  <c r="S3" i="4" s="1"/>
  <c r="S5" i="4" s="1"/>
  <c r="N3" i="4"/>
  <c r="T3" i="4"/>
  <c r="T21" i="4"/>
  <c r="N21" i="4"/>
  <c r="P21" i="4"/>
  <c r="S21" i="4" s="1"/>
  <c r="T13" i="4"/>
  <c r="P13" i="4"/>
  <c r="S13" i="4" s="1"/>
  <c r="S14" i="4" s="1"/>
  <c r="N13" i="4"/>
  <c r="P20" i="4"/>
  <c r="N20" i="4"/>
  <c r="P12" i="4"/>
  <c r="S12" i="4" s="1"/>
  <c r="N12" i="4"/>
  <c r="T12" i="4"/>
  <c r="P28" i="4"/>
  <c r="S28" i="4" s="1"/>
  <c r="T28" i="4"/>
  <c r="B52" i="3"/>
  <c r="B43" i="3"/>
  <c r="B33" i="3"/>
  <c r="D27" i="3"/>
  <c r="B48" i="3"/>
  <c r="B57" i="3"/>
  <c r="B40" i="3"/>
  <c r="D47" i="3"/>
  <c r="B30" i="3"/>
  <c r="D37" i="3"/>
  <c r="B62" i="3"/>
  <c r="B35" i="3"/>
  <c r="M35" i="3"/>
  <c r="B32" i="3"/>
  <c r="M32" i="3"/>
  <c r="M27" i="3"/>
  <c r="M61" i="3"/>
  <c r="M45" i="3"/>
  <c r="M39" i="3"/>
  <c r="M51" i="3"/>
  <c r="M62" i="3"/>
  <c r="O47" i="3"/>
  <c r="M40" i="3"/>
  <c r="M57" i="3"/>
  <c r="O27" i="3"/>
  <c r="M48" i="3"/>
  <c r="O37" i="3"/>
  <c r="M30" i="3"/>
  <c r="O56" i="3"/>
  <c r="B26" i="3"/>
  <c r="B42" i="3"/>
  <c r="B27" i="3"/>
  <c r="D56" i="3"/>
  <c r="B63" i="3"/>
  <c r="B61" i="3"/>
  <c r="M29" i="3"/>
  <c r="B49" i="3"/>
  <c r="B60" i="3"/>
  <c r="M50" i="3"/>
  <c r="M26" i="3"/>
  <c r="M31" i="3"/>
  <c r="M43" i="3"/>
  <c r="M55" i="3"/>
  <c r="X10" i="3"/>
  <c r="M37" i="3"/>
  <c r="M42" i="3"/>
  <c r="M36" i="3"/>
  <c r="M54" i="3"/>
  <c r="B37" i="3"/>
  <c r="B55" i="3"/>
  <c r="B36" i="3"/>
  <c r="B41" i="3"/>
  <c r="M56" i="3"/>
  <c r="B29" i="3"/>
  <c r="B46" i="3"/>
  <c r="B51" i="3"/>
  <c r="B39" i="3"/>
  <c r="B45" i="3"/>
  <c r="M47" i="3"/>
  <c r="M52" i="3"/>
  <c r="B56" i="3"/>
  <c r="B31" i="3"/>
  <c r="M28" i="3"/>
  <c r="M33" i="3"/>
  <c r="B54" i="3"/>
  <c r="M38" i="3"/>
  <c r="M60" i="2"/>
  <c r="V21" i="2"/>
  <c r="M63" i="2"/>
  <c r="B57" i="2"/>
  <c r="B62" i="2"/>
  <c r="B40" i="2"/>
  <c r="D47" i="2"/>
  <c r="B30" i="2"/>
  <c r="B55" i="2"/>
  <c r="B48" i="2"/>
  <c r="D37" i="2"/>
  <c r="D27" i="2"/>
  <c r="B54" i="2"/>
  <c r="M35" i="2"/>
  <c r="B63" i="2"/>
  <c r="D56" i="2"/>
  <c r="B33" i="2"/>
  <c r="B52" i="2"/>
  <c r="B43" i="2"/>
  <c r="B37" i="2"/>
  <c r="B61" i="2"/>
  <c r="B42" i="2"/>
  <c r="M39" i="2"/>
  <c r="M56" i="2"/>
  <c r="M49" i="2"/>
  <c r="M26" i="2"/>
  <c r="M61" i="2"/>
  <c r="B27" i="2"/>
  <c r="K16" i="2"/>
  <c r="V20" i="2"/>
  <c r="K14" i="2"/>
  <c r="M37" i="2"/>
  <c r="V16" i="2"/>
  <c r="X10" i="2"/>
  <c r="B46" i="2"/>
  <c r="V14" i="2"/>
  <c r="B50" i="2"/>
  <c r="M47" i="2"/>
  <c r="V10" i="2"/>
  <c r="K15" i="2"/>
  <c r="M41" i="2"/>
  <c r="V19" i="2"/>
  <c r="B26" i="2"/>
  <c r="M29" i="2"/>
  <c r="B36" i="2"/>
  <c r="B47" i="2"/>
  <c r="B49" i="2"/>
  <c r="M55" i="2"/>
  <c r="M52" i="2"/>
  <c r="M42" i="2"/>
  <c r="B41" i="2"/>
  <c r="M28" i="2"/>
  <c r="K10" i="2"/>
  <c r="M54" i="2"/>
  <c r="M64" i="2"/>
  <c r="B28" i="2"/>
  <c r="B29" i="2"/>
  <c r="V18" i="2"/>
  <c r="M32" i="2"/>
  <c r="M46" i="2"/>
  <c r="O56" i="2"/>
  <c r="B56" i="2"/>
  <c r="M50" i="2"/>
  <c r="M62" i="2"/>
  <c r="M48" i="2"/>
  <c r="O37" i="2"/>
  <c r="M30" i="2"/>
  <c r="W10" i="2"/>
  <c r="W11" i="2" s="1"/>
  <c r="V12" i="2"/>
  <c r="V17" i="2"/>
  <c r="M27" i="2"/>
  <c r="M33" i="2"/>
  <c r="M40" i="2"/>
  <c r="M51" i="2"/>
  <c r="B60" i="2"/>
  <c r="B45" i="2"/>
  <c r="B35" i="2"/>
  <c r="B32" i="2"/>
  <c r="B51" i="2"/>
  <c r="O27" i="2"/>
  <c r="M45" i="2"/>
  <c r="O47" i="2"/>
  <c r="M36" i="2"/>
  <c r="K17" i="2"/>
  <c r="B39" i="2"/>
  <c r="T14" i="4" l="1"/>
  <c r="T5" i="4"/>
  <c r="O63" i="3"/>
  <c r="Q54" i="3"/>
  <c r="D32" i="3"/>
  <c r="F26" i="3"/>
  <c r="Q35" i="3"/>
  <c r="O42" i="3"/>
  <c r="F45" i="3"/>
  <c r="D52" i="3"/>
  <c r="O52" i="3"/>
  <c r="Q45" i="3"/>
  <c r="Q26" i="3"/>
  <c r="O32" i="3"/>
  <c r="D42" i="3"/>
  <c r="F35" i="3"/>
  <c r="F54" i="3"/>
  <c r="D63" i="3"/>
  <c r="Q54" i="2"/>
  <c r="O63" i="2"/>
  <c r="F35" i="2"/>
  <c r="D42" i="2"/>
  <c r="D52" i="2"/>
  <c r="F45" i="2"/>
  <c r="D32" i="2"/>
  <c r="F26" i="2"/>
  <c r="O42" i="2"/>
  <c r="Q35" i="2"/>
  <c r="F54" i="2"/>
  <c r="D63" i="2"/>
  <c r="Q45" i="2"/>
  <c r="O52" i="2"/>
  <c r="Q26" i="2"/>
  <c r="O32" i="2"/>
  <c r="F55" i="3" l="1"/>
  <c r="H55" i="3"/>
  <c r="S27" i="3"/>
  <c r="Q27" i="3"/>
  <c r="H46" i="3"/>
  <c r="F46" i="3"/>
  <c r="H36" i="3"/>
  <c r="F36" i="3"/>
  <c r="S36" i="3"/>
  <c r="Q36" i="3"/>
  <c r="H27" i="3"/>
  <c r="F27" i="3"/>
  <c r="S46" i="3"/>
  <c r="Q46" i="3"/>
  <c r="Q55" i="3"/>
  <c r="S55" i="3"/>
  <c r="F55" i="2"/>
  <c r="H55" i="2"/>
  <c r="H36" i="2"/>
  <c r="F36" i="2"/>
  <c r="Q36" i="2"/>
  <c r="S36" i="2"/>
  <c r="H27" i="2"/>
  <c r="F27" i="2"/>
  <c r="S27" i="2"/>
  <c r="Q27" i="2"/>
  <c r="H46" i="2"/>
  <c r="F46" i="2"/>
  <c r="S46" i="2"/>
  <c r="Q46" i="2"/>
  <c r="S55" i="2"/>
  <c r="Q55" i="2"/>
  <c r="H56" i="3" l="1"/>
  <c r="F56" i="3"/>
  <c r="F37" i="3"/>
  <c r="H37" i="3"/>
  <c r="Q56" i="3"/>
  <c r="S56" i="3"/>
  <c r="Q47" i="3"/>
  <c r="S47" i="3"/>
  <c r="H47" i="3"/>
  <c r="F47" i="3"/>
  <c r="F28" i="3"/>
  <c r="H28" i="3"/>
  <c r="S28" i="3"/>
  <c r="Q28" i="3"/>
  <c r="S37" i="3"/>
  <c r="Q37" i="3"/>
  <c r="S56" i="2"/>
  <c r="Q56" i="2"/>
  <c r="Q47" i="2"/>
  <c r="S47" i="2"/>
  <c r="H47" i="2"/>
  <c r="F47" i="2"/>
  <c r="F37" i="2"/>
  <c r="H37" i="2"/>
  <c r="H28" i="2"/>
  <c r="F28" i="2"/>
  <c r="Q37" i="2"/>
  <c r="S37" i="2"/>
  <c r="S28" i="2"/>
  <c r="Q28" i="2"/>
  <c r="F56" i="2"/>
  <c r="H56" i="2"/>
  <c r="F57" i="3" l="1"/>
  <c r="H57" i="3"/>
  <c r="S38" i="3"/>
  <c r="Q38" i="3"/>
  <c r="S48" i="3"/>
  <c r="Q48" i="3"/>
  <c r="S29" i="3"/>
  <c r="Q29" i="3"/>
  <c r="S57" i="3"/>
  <c r="Q57" i="3"/>
  <c r="H29" i="3"/>
  <c r="F29" i="3"/>
  <c r="F38" i="3"/>
  <c r="H38" i="3"/>
  <c r="H48" i="3"/>
  <c r="F48" i="3"/>
  <c r="H57" i="2"/>
  <c r="F57" i="2"/>
  <c r="S29" i="2"/>
  <c r="Q29" i="2"/>
  <c r="S38" i="2"/>
  <c r="Q38" i="2"/>
  <c r="Q48" i="2"/>
  <c r="S48" i="2"/>
  <c r="H38" i="2"/>
  <c r="F38" i="2"/>
  <c r="H48" i="2"/>
  <c r="F48" i="2"/>
  <c r="H29" i="2"/>
  <c r="F29" i="2"/>
  <c r="S57" i="2"/>
  <c r="Q57" i="2"/>
  <c r="F49" i="3" l="1"/>
  <c r="H49" i="3"/>
  <c r="F30" i="3"/>
  <c r="H30" i="3"/>
  <c r="S58" i="3"/>
  <c r="Q58" i="3"/>
  <c r="S30" i="3"/>
  <c r="Q30" i="3"/>
  <c r="S49" i="3"/>
  <c r="Q49" i="3"/>
  <c r="F39" i="3"/>
  <c r="H39" i="3"/>
  <c r="Q39" i="3"/>
  <c r="S39" i="3"/>
  <c r="H58" i="3"/>
  <c r="F58" i="3"/>
  <c r="S58" i="2"/>
  <c r="Q58" i="2"/>
  <c r="S39" i="2"/>
  <c r="Q39" i="2"/>
  <c r="H49" i="2"/>
  <c r="F49" i="2"/>
  <c r="H58" i="2"/>
  <c r="F58" i="2"/>
  <c r="S49" i="2"/>
  <c r="Q49" i="2"/>
  <c r="H30" i="2"/>
  <c r="F30" i="2"/>
  <c r="Q30" i="2"/>
  <c r="S30" i="2"/>
  <c r="H39" i="2"/>
  <c r="F39" i="2"/>
  <c r="H59" i="3" l="1"/>
  <c r="F59" i="3"/>
  <c r="S40" i="3"/>
  <c r="Q40" i="3"/>
  <c r="Q31" i="3"/>
  <c r="S31" i="3"/>
  <c r="S59" i="3"/>
  <c r="Q59" i="3"/>
  <c r="H40" i="3"/>
  <c r="F40" i="3"/>
  <c r="F31" i="3"/>
  <c r="H31" i="3"/>
  <c r="S50" i="3"/>
  <c r="Q50" i="3"/>
  <c r="F50" i="3"/>
  <c r="H50" i="3"/>
  <c r="H40" i="2"/>
  <c r="F40" i="2"/>
  <c r="H50" i="2"/>
  <c r="F50" i="2"/>
  <c r="S31" i="2"/>
  <c r="Q31" i="2"/>
  <c r="H31" i="2"/>
  <c r="F31" i="2"/>
  <c r="S50" i="2"/>
  <c r="Q50" i="2"/>
  <c r="Q59" i="2"/>
  <c r="S59" i="2"/>
  <c r="H59" i="2"/>
  <c r="F59" i="2"/>
  <c r="Q40" i="2"/>
  <c r="S40" i="2"/>
  <c r="S64" i="3" l="1"/>
  <c r="Q64" i="3"/>
  <c r="Q60" i="3"/>
  <c r="S60" i="3"/>
  <c r="H51" i="3"/>
  <c r="F51" i="3"/>
  <c r="S51" i="3"/>
  <c r="Q51" i="3"/>
  <c r="S32" i="3"/>
  <c r="Q32" i="3"/>
  <c r="S41" i="3"/>
  <c r="Q41" i="3"/>
  <c r="H32" i="3"/>
  <c r="F32" i="3"/>
  <c r="H41" i="3"/>
  <c r="F41" i="3"/>
  <c r="F64" i="3"/>
  <c r="H60" i="3"/>
  <c r="H64" i="3"/>
  <c r="F60" i="3"/>
  <c r="Q41" i="2"/>
  <c r="S41" i="2"/>
  <c r="H64" i="2"/>
  <c r="F64" i="2"/>
  <c r="H51" i="2"/>
  <c r="F51" i="2"/>
  <c r="Q51" i="2"/>
  <c r="S51" i="2"/>
  <c r="H41" i="2"/>
  <c r="F41" i="2"/>
  <c r="F32" i="2"/>
  <c r="H32" i="2"/>
  <c r="S32" i="2"/>
  <c r="Q32" i="2"/>
  <c r="Q64" i="2"/>
  <c r="S64" i="2"/>
  <c r="F42" i="3" l="1"/>
  <c r="H42" i="3"/>
  <c r="S52" i="3"/>
  <c r="Q52" i="3"/>
  <c r="F33" i="3"/>
  <c r="H33" i="3"/>
  <c r="F52" i="3"/>
  <c r="H52" i="3"/>
  <c r="F61" i="3"/>
  <c r="H61" i="3"/>
  <c r="S42" i="3"/>
  <c r="Q42" i="3"/>
  <c r="Q61" i="3"/>
  <c r="S61" i="3"/>
  <c r="S33" i="3"/>
  <c r="Q33" i="3"/>
  <c r="Q33" i="2"/>
  <c r="S33" i="2"/>
  <c r="H33" i="2"/>
  <c r="F33" i="2"/>
  <c r="H42" i="2"/>
  <c r="F42" i="2"/>
  <c r="S52" i="2"/>
  <c r="Q52" i="2"/>
  <c r="H52" i="2"/>
  <c r="F52" i="2"/>
  <c r="Q42" i="2"/>
  <c r="S42" i="2"/>
  <c r="Q62" i="3" l="1"/>
  <c r="S62" i="3"/>
  <c r="S43" i="3"/>
  <c r="Q43" i="3"/>
  <c r="H62" i="3"/>
  <c r="F62" i="3"/>
  <c r="F43" i="3"/>
  <c r="H43" i="3"/>
  <c r="S43" i="2"/>
  <c r="Q43" i="2"/>
  <c r="H43" i="2"/>
  <c r="F43" i="2"/>
  <c r="F63" i="3" l="1"/>
  <c r="H63" i="3"/>
  <c r="S63" i="3"/>
  <c r="Q63" i="3"/>
</calcChain>
</file>

<file path=xl/sharedStrings.xml><?xml version="1.0" encoding="utf-8"?>
<sst xmlns="http://schemas.openxmlformats.org/spreadsheetml/2006/main" count="361" uniqueCount="95">
  <si>
    <t>H2(vacuum)</t>
  </si>
  <si>
    <t>free energy (1atm)</t>
  </si>
  <si>
    <t>NO</t>
  </si>
  <si>
    <t>0.2mM</t>
  </si>
  <si>
    <t>H2O</t>
  </si>
  <si>
    <t>55.5M</t>
  </si>
  <si>
    <t>N2O</t>
  </si>
  <si>
    <t>N2</t>
  </si>
  <si>
    <t>NH3</t>
  </si>
  <si>
    <t>Cu (100)</t>
  </si>
  <si>
    <t>surface</t>
  </si>
  <si>
    <t>7NO*</t>
  </si>
  <si>
    <t>NO*</t>
  </si>
  <si>
    <t>8NO*</t>
  </si>
  <si>
    <t>HNO*</t>
  </si>
  <si>
    <t>HNO* + 7NO*</t>
  </si>
  <si>
    <t>NOH*</t>
  </si>
  <si>
    <t>NOH* + 7NO*</t>
  </si>
  <si>
    <t>NOH+H2O*</t>
  </si>
  <si>
    <t>NOH+H2O*+7NO*</t>
  </si>
  <si>
    <t>HNOH*</t>
  </si>
  <si>
    <t>HNOH* + 7NO*</t>
  </si>
  <si>
    <t>N*</t>
  </si>
  <si>
    <t>N* + 7NO*</t>
  </si>
  <si>
    <t>NH*</t>
  </si>
  <si>
    <t>NH*+7NO*</t>
  </si>
  <si>
    <t>NH2*</t>
  </si>
  <si>
    <t>NH2*+7NO*</t>
  </si>
  <si>
    <t>NH3*</t>
  </si>
  <si>
    <t>NH3*+7NO*</t>
  </si>
  <si>
    <t>N*+NO*</t>
  </si>
  <si>
    <t>N+NO+7NO*</t>
  </si>
  <si>
    <t>N2O*</t>
  </si>
  <si>
    <t>N2O+7NO*</t>
  </si>
  <si>
    <t>N2*</t>
  </si>
  <si>
    <t>N2*+7NO*</t>
  </si>
  <si>
    <t>OH*</t>
  </si>
  <si>
    <t>OH*+7NO*</t>
  </si>
  <si>
    <t>H2O*</t>
  </si>
  <si>
    <t>rxn</t>
  </si>
  <si>
    <t>reaction energy</t>
  </si>
  <si>
    <t>reaction barrier</t>
  </si>
  <si>
    <t>H+ + e- + NO* = HNO*</t>
  </si>
  <si>
    <t>NO* + 5H+ + 5e-= NH3 + * + H2O</t>
  </si>
  <si>
    <t>HNO* + H+ +e- = HNOH*</t>
  </si>
  <si>
    <t xml:space="preserve">HNOH* = NH* + OH* </t>
  </si>
  <si>
    <t>OH* + H+ +e- = H2O*</t>
  </si>
  <si>
    <t>H2O* = H2O + *</t>
  </si>
  <si>
    <t>NH* + H+ +e- &lt;--&gt; NH2*</t>
  </si>
  <si>
    <t>NH2* + H+ +e- &lt;--&gt; NH3*</t>
  </si>
  <si>
    <t>NH3*=NH3+*</t>
  </si>
  <si>
    <t>H+ + e- + NO* + H2O =NOH H2O*</t>
  </si>
  <si>
    <t>NOH H2O* = NOH* + H2O</t>
  </si>
  <si>
    <t xml:space="preserve">H+ + e- + NOH*  = HNOH* </t>
  </si>
  <si>
    <t>H+ + e- + NOH* = N* + H2O*</t>
  </si>
  <si>
    <t>N* + H+ +e- &lt;--&gt; NH*</t>
  </si>
  <si>
    <t>NO+NO* +4H+ +4e- =2H2O + N2+*</t>
  </si>
  <si>
    <t>H+ + e- + NOH*+* = N* + H2O*</t>
  </si>
  <si>
    <t>N*+NO(g) = N+NO*</t>
  </si>
  <si>
    <t>N+NO* = N2O*</t>
  </si>
  <si>
    <t>H++e-+ N2O*+* = N2*+OH*</t>
  </si>
  <si>
    <t>N2* = N2 + *</t>
  </si>
  <si>
    <t>N2O* = N2O +*</t>
  </si>
  <si>
    <t>Pd (100)</t>
  </si>
  <si>
    <t>7NO*surface</t>
  </si>
  <si>
    <t>NOH H2O*</t>
  </si>
  <si>
    <t>NOH H2O* + 7NO</t>
  </si>
  <si>
    <t>NH3*+7NO</t>
  </si>
  <si>
    <t>N2O*+7NO*</t>
  </si>
  <si>
    <t>N2+7NO</t>
  </si>
  <si>
    <t>H+ + e- + NOH*  = HNOH*</t>
  </si>
  <si>
    <t>H+ + e- + NOH * = N* + H2O*</t>
  </si>
  <si>
    <t>low cover</t>
  </si>
  <si>
    <t>energy</t>
  </si>
  <si>
    <t>ZPVE eV</t>
  </si>
  <si>
    <t>internal vibrational energy kj/mol</t>
  </si>
  <si>
    <t>vibrational entropy eV</t>
  </si>
  <si>
    <t>translational entropy cal/molK</t>
  </si>
  <si>
    <t>rotational entropy cal/molK</t>
  </si>
  <si>
    <t>concentration 1atm-1M</t>
  </si>
  <si>
    <t>free energy without enthalpy eV</t>
  </si>
  <si>
    <t>reaction free energy</t>
  </si>
  <si>
    <t>U0</t>
  </si>
  <si>
    <t>Ea</t>
  </si>
  <si>
    <t>Ea(U=0 V vs RHE)</t>
  </si>
  <si>
    <t>IS</t>
  </si>
  <si>
    <t>TS</t>
  </si>
  <si>
    <t>FS</t>
  </si>
  <si>
    <t>H+ + e- + NO*+H2O =NOH*+H2O</t>
  </si>
  <si>
    <t>H2 (vacuum)</t>
  </si>
  <si>
    <t>NO* + H2O</t>
  </si>
  <si>
    <t>NOH* + H2O</t>
  </si>
  <si>
    <t>3_cover</t>
  </si>
  <si>
    <t>H+ + e- + NO* + H2O= HNO*+ H2O</t>
  </si>
  <si>
    <t>HNO* + 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</si>
</sst>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2" fontId="0" fillId="0" borderId="0" xfId="0" applyNumberFormat="1"/>
    <xf numFmtId="0" fontId="3" fillId="0" borderId="0" xfId="0" applyFont="1"/>
    <xf numFmtId="0" fontId="0" fillId="2" borderId="0" xfId="0" applyFill="1"/>
    <xf numFmtId="2" fontId="0" fillId="2" borderId="0" xfId="0" applyNumberFormat="1" applyFill="1"/>
  </cellXfs>
  <cellStyles count="2">
    <cellStyle name="Normal" xfId="0" builtinId="0"/>
    <cellStyle name="Normal 2 2" xfId="1" xr:uid="{513DA081-1C07-42DE-AFEC-066F2DB059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4000" b="1">
                <a:solidFill>
                  <a:sysClr val="windowText" lastClr="000000"/>
                </a:solidFill>
              </a:rPr>
              <a:t>Pd (100)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34985700667302"/>
          <c:y val="0.12005065015727996"/>
          <c:w val="0.76773099740034867"/>
          <c:h val="0.8215275643645889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15000000000000002"/>
            <c:spPr>
              <a:noFill/>
              <a:ln w="4445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xVal>
            <c:numRef>
              <c:f>'electrochemical selectivity'!$R$1:$T$1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'electrochemical selectivity'!$R$3:$T$3</c:f>
              <c:numCache>
                <c:formatCode>0.00</c:formatCode>
                <c:ptCount val="3"/>
                <c:pt idx="0">
                  <c:v>0</c:v>
                </c:pt>
                <c:pt idx="1">
                  <c:v>0.98231898010392182</c:v>
                </c:pt>
                <c:pt idx="2">
                  <c:v>0.20798796020780763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C6-41B5-B875-885463E598B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15000000000000002"/>
            <c:spPr>
              <a:noFill/>
              <a:ln w="4445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'electrochemical selectivity'!$R$1:$T$1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'electrochemical selectivity'!$R$4:$T$4</c:f>
              <c:numCache>
                <c:formatCode>0.00</c:formatCode>
                <c:ptCount val="3"/>
                <c:pt idx="0">
                  <c:v>0</c:v>
                </c:pt>
                <c:pt idx="1">
                  <c:v>0.50533726784057342</c:v>
                </c:pt>
                <c:pt idx="2">
                  <c:v>0.21906453568114692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C6-41B5-B875-885463E59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927600"/>
        <c:axId val="927928016"/>
      </c:scatterChart>
      <c:valAx>
        <c:axId val="927927600"/>
        <c:scaling>
          <c:orientation val="minMax"/>
          <c:max val="3.5"/>
          <c:min val="0.70000000000000007"/>
        </c:scaling>
        <c:delete val="1"/>
        <c:axPos val="b"/>
        <c:numFmt formatCode="General" sourceLinked="1"/>
        <c:majorTickMark val="out"/>
        <c:minorTickMark val="none"/>
        <c:tickLblPos val="nextTo"/>
        <c:crossAx val="927928016"/>
        <c:crosses val="autoZero"/>
        <c:crossBetween val="midCat"/>
      </c:valAx>
      <c:valAx>
        <c:axId val="927928016"/>
        <c:scaling>
          <c:orientation val="minMax"/>
          <c:max val="2"/>
          <c:min val="-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400" b="1">
                    <a:solidFill>
                      <a:sysClr val="windowText" lastClr="000000"/>
                    </a:solidFill>
                  </a:rPr>
                  <a:t>Energy </a:t>
                </a:r>
                <a:r>
                  <a:rPr lang="en-US" sz="4400" b="1" baseline="0">
                    <a:solidFill>
                      <a:sysClr val="windowText" lastClr="000000"/>
                    </a:solidFill>
                  </a:rPr>
                  <a:t>(eV)</a:t>
                </a:r>
                <a:endParaRPr lang="en-US" sz="44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8135240981312667E-2"/>
              <c:y val="0.3716083428502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27600"/>
        <c:crosses val="autoZero"/>
        <c:crossBetween val="midCat"/>
        <c:majorUnit val="0.5"/>
      </c:valAx>
      <c:spPr>
        <a:noFill/>
        <a:ln w="444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4000" b="1">
                <a:solidFill>
                  <a:sysClr val="windowText" lastClr="000000"/>
                </a:solidFill>
              </a:rPr>
              <a:t>Cu (100)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34985700667302"/>
          <c:y val="0.12005065015727996"/>
          <c:w val="0.76773099740034867"/>
          <c:h val="0.8215275643645889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15000000000000002"/>
            <c:spPr>
              <a:noFill/>
              <a:ln w="4445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xVal>
            <c:numRef>
              <c:f>'electrochemical selectivity'!$R$1:$T$1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'electrochemical selectivity'!$R$12:$T$12</c:f>
              <c:numCache>
                <c:formatCode>0.00</c:formatCode>
                <c:ptCount val="3"/>
                <c:pt idx="0">
                  <c:v>0</c:v>
                </c:pt>
                <c:pt idx="1">
                  <c:v>0.36856393670250576</c:v>
                </c:pt>
                <c:pt idx="2">
                  <c:v>-0.34929012659498859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AA-4DA5-8A23-433C8D903C1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15000000000000002"/>
            <c:spPr>
              <a:noFill/>
              <a:ln w="4445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'electrochemical selectivity'!$R$1:$T$1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'electrochemical selectivity'!$R$13:$T$13</c:f>
              <c:numCache>
                <c:formatCode>0.00</c:formatCode>
                <c:ptCount val="3"/>
                <c:pt idx="0">
                  <c:v>0</c:v>
                </c:pt>
                <c:pt idx="1">
                  <c:v>0.65201127292710204</c:v>
                </c:pt>
                <c:pt idx="2">
                  <c:v>-0.15107945414579582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AA-4DA5-8A23-433C8D903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927600"/>
        <c:axId val="927928016"/>
      </c:scatterChart>
      <c:valAx>
        <c:axId val="927927600"/>
        <c:scaling>
          <c:orientation val="minMax"/>
          <c:max val="3.5"/>
          <c:min val="0.70000000000000007"/>
        </c:scaling>
        <c:delete val="1"/>
        <c:axPos val="b"/>
        <c:numFmt formatCode="General" sourceLinked="1"/>
        <c:majorTickMark val="out"/>
        <c:minorTickMark val="none"/>
        <c:tickLblPos val="nextTo"/>
        <c:crossAx val="927928016"/>
        <c:crosses val="autoZero"/>
        <c:crossBetween val="midCat"/>
      </c:valAx>
      <c:valAx>
        <c:axId val="927928016"/>
        <c:scaling>
          <c:orientation val="minMax"/>
          <c:max val="2"/>
          <c:min val="-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1">
                    <a:solidFill>
                      <a:sysClr val="windowText" lastClr="000000"/>
                    </a:solidFill>
                  </a:rPr>
                  <a:t>Energy </a:t>
                </a:r>
                <a:r>
                  <a:rPr lang="en-US" sz="4000" b="1" baseline="0">
                    <a:solidFill>
                      <a:sysClr val="windowText" lastClr="000000"/>
                    </a:solidFill>
                  </a:rPr>
                  <a:t>(eV)</a:t>
                </a:r>
                <a:endParaRPr lang="en-US" sz="40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8135240981312667E-2"/>
              <c:y val="0.3716083428502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27600"/>
        <c:crosses val="autoZero"/>
        <c:crossBetween val="midCat"/>
        <c:majorUnit val="0.5"/>
      </c:valAx>
      <c:spPr>
        <a:noFill/>
        <a:ln w="444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4000" b="1">
                <a:solidFill>
                  <a:sysClr val="windowText" lastClr="000000"/>
                </a:solidFill>
              </a:rPr>
              <a:t>Pd (100)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34985700667302"/>
          <c:y val="0.12005065015727996"/>
          <c:w val="0.76773099740034867"/>
          <c:h val="0.8215275643645889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15000000000000002"/>
            <c:spPr>
              <a:noFill/>
              <a:ln w="4445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xVal>
            <c:numRef>
              <c:f>'electrochemical selectivity'!$R$1:$T$1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'electrochemical selectivity'!$R$20:$T$20</c:f>
              <c:numCache>
                <c:formatCode>0.00</c:formatCode>
                <c:ptCount val="3"/>
                <c:pt idx="0">
                  <c:v>0</c:v>
                </c:pt>
                <c:pt idx="1">
                  <c:v>1.2091499012701097</c:v>
                </c:pt>
                <c:pt idx="2">
                  <c:v>0.60285780254021937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29-4D69-8937-B9485847AE9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15000000000000002"/>
            <c:spPr>
              <a:noFill/>
              <a:ln w="4445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'electrochemical selectivity'!$R$1:$T$1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'electrochemical selectivity'!$R$21:$T$21</c:f>
              <c:numCache>
                <c:formatCode>0.00</c:formatCode>
                <c:ptCount val="3"/>
                <c:pt idx="0">
                  <c:v>0</c:v>
                </c:pt>
                <c:pt idx="1">
                  <c:v>0.59535590084058965</c:v>
                </c:pt>
                <c:pt idx="2">
                  <c:v>0.12191380168117938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29-4D69-8937-B9485847A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927600"/>
        <c:axId val="927928016"/>
      </c:scatterChart>
      <c:valAx>
        <c:axId val="927927600"/>
        <c:scaling>
          <c:orientation val="minMax"/>
          <c:max val="3.5"/>
          <c:min val="0.70000000000000007"/>
        </c:scaling>
        <c:delete val="1"/>
        <c:axPos val="b"/>
        <c:numFmt formatCode="General" sourceLinked="1"/>
        <c:majorTickMark val="out"/>
        <c:minorTickMark val="none"/>
        <c:tickLblPos val="nextTo"/>
        <c:crossAx val="927928016"/>
        <c:crosses val="autoZero"/>
        <c:crossBetween val="midCat"/>
      </c:valAx>
      <c:valAx>
        <c:axId val="927928016"/>
        <c:scaling>
          <c:orientation val="minMax"/>
          <c:max val="2"/>
          <c:min val="-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400" b="1">
                    <a:solidFill>
                      <a:sysClr val="windowText" lastClr="000000"/>
                    </a:solidFill>
                  </a:rPr>
                  <a:t>Energy </a:t>
                </a:r>
                <a:r>
                  <a:rPr lang="en-US" sz="4400" b="1" baseline="0">
                    <a:solidFill>
                      <a:sysClr val="windowText" lastClr="000000"/>
                    </a:solidFill>
                  </a:rPr>
                  <a:t>(eV)</a:t>
                </a:r>
                <a:endParaRPr lang="en-US" sz="44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8135240981312667E-2"/>
              <c:y val="0.3716083428502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27600"/>
        <c:crosses val="autoZero"/>
        <c:crossBetween val="midCat"/>
        <c:majorUnit val="0.5"/>
      </c:valAx>
      <c:spPr>
        <a:noFill/>
        <a:ln w="444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4000" b="1">
                <a:solidFill>
                  <a:sysClr val="windowText" lastClr="000000"/>
                </a:solidFill>
              </a:rPr>
              <a:t>Cu (100)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34985700667302"/>
          <c:y val="0.12005065015727996"/>
          <c:w val="0.76773099740034867"/>
          <c:h val="0.8215275643645889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15000000000000002"/>
            <c:spPr>
              <a:noFill/>
              <a:ln w="4445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xVal>
            <c:numRef>
              <c:f>'electrochemical selectivity'!$R$1:$T$1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'electrochemical selectivity'!$R$27:$T$27</c:f>
              <c:numCache>
                <c:formatCode>0.00</c:formatCode>
                <c:ptCount val="3"/>
                <c:pt idx="0">
                  <c:v>0</c:v>
                </c:pt>
                <c:pt idx="1">
                  <c:v>0.37730842524229935</c:v>
                </c:pt>
                <c:pt idx="2">
                  <c:v>-0.50434314951540138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61-4D71-B67C-1520B7AEB6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15000000000000002"/>
            <c:spPr>
              <a:noFill/>
              <a:ln w="4445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'electrochemical selectivity'!$R$1:$T$1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'electrochemical selectivity'!$R$28:$T$28</c:f>
              <c:numCache>
                <c:formatCode>0.00</c:formatCode>
                <c:ptCount val="3"/>
                <c:pt idx="0">
                  <c:v>0</c:v>
                </c:pt>
                <c:pt idx="1">
                  <c:v>0.54879239812247649</c:v>
                </c:pt>
                <c:pt idx="2">
                  <c:v>-0.29437520375504711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61-4D71-B67C-1520B7AEB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927600"/>
        <c:axId val="927928016"/>
      </c:scatterChart>
      <c:valAx>
        <c:axId val="927927600"/>
        <c:scaling>
          <c:orientation val="minMax"/>
          <c:max val="3.5"/>
          <c:min val="0.70000000000000007"/>
        </c:scaling>
        <c:delete val="1"/>
        <c:axPos val="b"/>
        <c:numFmt formatCode="General" sourceLinked="1"/>
        <c:majorTickMark val="out"/>
        <c:minorTickMark val="none"/>
        <c:tickLblPos val="nextTo"/>
        <c:crossAx val="927928016"/>
        <c:crosses val="autoZero"/>
        <c:crossBetween val="midCat"/>
      </c:valAx>
      <c:valAx>
        <c:axId val="927928016"/>
        <c:scaling>
          <c:orientation val="minMax"/>
          <c:max val="2"/>
          <c:min val="-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1">
                    <a:solidFill>
                      <a:sysClr val="windowText" lastClr="000000"/>
                    </a:solidFill>
                  </a:rPr>
                  <a:t>Energy </a:t>
                </a:r>
                <a:r>
                  <a:rPr lang="en-US" sz="4000" b="1" baseline="0">
                    <a:solidFill>
                      <a:sysClr val="windowText" lastClr="000000"/>
                    </a:solidFill>
                  </a:rPr>
                  <a:t>(eV)</a:t>
                </a:r>
                <a:endParaRPr lang="en-US" sz="40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8135240981312667E-2"/>
              <c:y val="0.3716083428502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444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27600"/>
        <c:crosses val="autoZero"/>
        <c:crossBetween val="midCat"/>
        <c:majorUnit val="0.5"/>
      </c:valAx>
      <c:spPr>
        <a:noFill/>
        <a:ln w="444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4"/>
            <c:spPr>
              <a:noFill/>
              <a:ln w="31750" cap="flat" cmpd="sng" algn="ctr">
                <a:solidFill>
                  <a:srgbClr val="FF0000"/>
                </a:solidFill>
                <a:round/>
              </a:ln>
              <a:effectLst/>
            </c:spPr>
          </c:errBars>
          <c:xVal>
            <c:numRef>
              <c:f>'reaction diagram correct_Pd'!$E$44:$E$52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</c:numCache>
            </c:numRef>
          </c:xVal>
          <c:yVal>
            <c:numRef>
              <c:f>'reaction diagram correct_Pd'!$F$44:$F$52</c:f>
              <c:numCache>
                <c:formatCode>0.00</c:formatCode>
                <c:ptCount val="9"/>
                <c:pt idx="0">
                  <c:v>0</c:v>
                </c:pt>
                <c:pt idx="1">
                  <c:v>-3.9440639557273727E-2</c:v>
                </c:pt>
                <c:pt idx="2">
                  <c:v>0.43312137284338448</c:v>
                </c:pt>
                <c:pt idx="3">
                  <c:v>-0.89205771527260325</c:v>
                </c:pt>
                <c:pt idx="4">
                  <c:v>-0.66747554712079094</c:v>
                </c:pt>
                <c:pt idx="5">
                  <c:v>-1.174713764040991</c:v>
                </c:pt>
                <c:pt idx="6">
                  <c:v>-1.5510011195867701</c:v>
                </c:pt>
                <c:pt idx="7">
                  <c:v>-2.0181539448947561</c:v>
                </c:pt>
                <c:pt idx="8">
                  <c:v>-1.5054121133954155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A6-4EFD-91F8-6075A9B022C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'reaction diagram correct_Pd'!$G$45:$G$52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xVal>
          <c:yVal>
            <c:numRef>
              <c:f>'reaction diagram correct_Pd'!$H$45:$H$52</c:f>
              <c:numCache>
                <c:formatCode>General</c:formatCode>
                <c:ptCount val="8"/>
                <c:pt idx="0">
                  <c:v>0.31</c:v>
                </c:pt>
                <c:pt idx="1">
                  <c:v>-3.9440639557273727E-2</c:v>
                </c:pt>
                <c:pt idx="2">
                  <c:v>0.82312137284338449</c:v>
                </c:pt>
                <c:pt idx="3">
                  <c:v>-0.89205771527260325</c:v>
                </c:pt>
                <c:pt idx="4">
                  <c:v>-0.19747554712079096</c:v>
                </c:pt>
                <c:pt idx="5">
                  <c:v>-0.71471376404099107</c:v>
                </c:pt>
                <c:pt idx="6">
                  <c:v>-1.2410011195867701</c:v>
                </c:pt>
                <c:pt idx="7">
                  <c:v>-2.0181539448947561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A6-4EFD-91F8-6075A9B022C1}"/>
            </c:ext>
          </c:extLst>
        </c:ser>
        <c:ser>
          <c:idx val="4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4"/>
            <c:spPr>
              <a:noFill/>
              <a:ln w="3175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'reaction diagram correct_Pd'!$E$53:$E$64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15</c:v>
                </c:pt>
              </c:numCache>
            </c:numRef>
          </c:xVal>
          <c:yVal>
            <c:numRef>
              <c:f>'reaction diagram correct_Pd'!$F$53:$F$64</c:f>
              <c:numCache>
                <c:formatCode>0.00</c:formatCode>
                <c:ptCount val="12"/>
                <c:pt idx="0">
                  <c:v>0</c:v>
                </c:pt>
                <c:pt idx="1">
                  <c:v>-3.9440639557273727E-2</c:v>
                </c:pt>
                <c:pt idx="2">
                  <c:v>0.43312137284338448</c:v>
                </c:pt>
                <c:pt idx="3">
                  <c:v>-0.89205771527260325</c:v>
                </c:pt>
                <c:pt idx="4">
                  <c:v>-0.66747554712079094</c:v>
                </c:pt>
                <c:pt idx="5">
                  <c:v>-2.3801215075219293</c:v>
                </c:pt>
                <c:pt idx="6">
                  <c:v>-1.4478283299837731</c:v>
                </c:pt>
                <c:pt idx="7">
                  <c:v>-3.6664447701361187</c:v>
                </c:pt>
                <c:pt idx="8">
                  <c:v>-4.2158152361240191</c:v>
                </c:pt>
                <c:pt idx="9">
                  <c:v>-3.9912330679722068</c:v>
                </c:pt>
                <c:pt idx="10">
                  <c:v>-3.9031906305150024</c:v>
                </c:pt>
                <c:pt idx="11">
                  <c:v>-1.3568101041608802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A6-4EFD-91F8-6075A9B022C1}"/>
            </c:ext>
          </c:extLst>
        </c:ser>
        <c:ser>
          <c:idx val="5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'reaction diagram correct_Pd'!$G$54:$G$64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14</c:v>
                </c:pt>
              </c:numCache>
            </c:numRef>
          </c:xVal>
          <c:yVal>
            <c:numRef>
              <c:f>'reaction diagram correct_Pd'!$H$54:$H$64</c:f>
              <c:numCache>
                <c:formatCode>General</c:formatCode>
                <c:ptCount val="11"/>
                <c:pt idx="0">
                  <c:v>0.31</c:v>
                </c:pt>
                <c:pt idx="1">
                  <c:v>-3.9440639557273727E-2</c:v>
                </c:pt>
                <c:pt idx="2">
                  <c:v>0.82312137284338449</c:v>
                </c:pt>
                <c:pt idx="3">
                  <c:v>-0.89205771527260325</c:v>
                </c:pt>
                <c:pt idx="4">
                  <c:v>-0.66747554712079094</c:v>
                </c:pt>
                <c:pt idx="5">
                  <c:v>-0.6301215075219293</c:v>
                </c:pt>
                <c:pt idx="6">
                  <c:v>-1.057828329983773</c:v>
                </c:pt>
                <c:pt idx="7">
                  <c:v>-2.9664447701361185</c:v>
                </c:pt>
                <c:pt idx="8">
                  <c:v>-4.2158152361240191</c:v>
                </c:pt>
                <c:pt idx="9">
                  <c:v>-3.9912330679722068</c:v>
                </c:pt>
                <c:pt idx="10" formatCode="0.00">
                  <c:v>-1.4478283299837731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A6-4EFD-91F8-6075A9B02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28431"/>
        <c:axId val="66835627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4"/>
                <c:tx>
                  <c:v>4 reaction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'reaction diagram correct_Pd'!$E$53:$E$64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3</c:v>
                      </c:pt>
                      <c:pt idx="2">
                        <c:v>5</c:v>
                      </c:pt>
                      <c:pt idx="3">
                        <c:v>7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17</c:v>
                      </c:pt>
                      <c:pt idx="9">
                        <c:v>19</c:v>
                      </c:pt>
                      <c:pt idx="10">
                        <c:v>21</c:v>
                      </c:pt>
                      <c:pt idx="11">
                        <c:v>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'reaction diagram correct_Pd'!$F$53:$F$64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0</c:v>
                      </c:pt>
                      <c:pt idx="1">
                        <c:v>-3.9440639557273727E-2</c:v>
                      </c:pt>
                      <c:pt idx="2">
                        <c:v>0.43312137284338448</c:v>
                      </c:pt>
                      <c:pt idx="3">
                        <c:v>-0.89205771527260325</c:v>
                      </c:pt>
                      <c:pt idx="4">
                        <c:v>-0.66747554712079094</c:v>
                      </c:pt>
                      <c:pt idx="5">
                        <c:v>-2.3801215075219293</c:v>
                      </c:pt>
                      <c:pt idx="6">
                        <c:v>-1.4478283299837731</c:v>
                      </c:pt>
                      <c:pt idx="7">
                        <c:v>-3.6664447701361187</c:v>
                      </c:pt>
                      <c:pt idx="8">
                        <c:v>-4.2158152361240191</c:v>
                      </c:pt>
                      <c:pt idx="9">
                        <c:v>-3.9912330679722068</c:v>
                      </c:pt>
                      <c:pt idx="10">
                        <c:v>-3.9031906305150024</c:v>
                      </c:pt>
                      <c:pt idx="11">
                        <c:v>-1.3568101041608802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87A6-4EFD-91F8-6075A9B022C1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v>4 barrier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'reaction diagram correct_Pd'!$G$54:$G$64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  <c:pt idx="7">
                        <c:v>16</c:v>
                      </c:pt>
                      <c:pt idx="8">
                        <c:v>18</c:v>
                      </c:pt>
                      <c:pt idx="9">
                        <c:v>20</c:v>
                      </c:pt>
                      <c:pt idx="10">
                        <c:v>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'reaction diagram correct_Pd'!$H$54:$H$64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0.31</c:v>
                      </c:pt>
                      <c:pt idx="1">
                        <c:v>-3.9440639557273727E-2</c:v>
                      </c:pt>
                      <c:pt idx="2">
                        <c:v>0.82312137284338449</c:v>
                      </c:pt>
                      <c:pt idx="3">
                        <c:v>-0.89205771527260325</c:v>
                      </c:pt>
                      <c:pt idx="4">
                        <c:v>-0.66747554712079094</c:v>
                      </c:pt>
                      <c:pt idx="5">
                        <c:v>-0.6301215075219293</c:v>
                      </c:pt>
                      <c:pt idx="6">
                        <c:v>-1.057828329983773</c:v>
                      </c:pt>
                      <c:pt idx="7">
                        <c:v>-2.9664447701361185</c:v>
                      </c:pt>
                      <c:pt idx="8">
                        <c:v>-4.2158152361240191</c:v>
                      </c:pt>
                      <c:pt idx="9">
                        <c:v>-3.9912330679722068</c:v>
                      </c:pt>
                      <c:pt idx="10" formatCode="0.00">
                        <c:v>-1.4478283299837731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7A6-4EFD-91F8-6075A9B022C1}"/>
                  </c:ext>
                </c:extLst>
              </c15:ser>
            </c15:filteredScatterSeries>
            <c15:filteredScatterSeries>
              <c15:ser>
                <c:idx val="8"/>
                <c:order val="6"/>
                <c:tx>
                  <c:v>2 reaction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'reaction diagram correct_Pd'!$E$34:$E$43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3</c:v>
                      </c:pt>
                      <c:pt idx="2">
                        <c:v>5</c:v>
                      </c:pt>
                      <c:pt idx="3">
                        <c:v>7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17</c:v>
                      </c:pt>
                      <c:pt idx="9">
                        <c:v>19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'reaction diagram correct_Pd'!$F$34:$F$43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0</c:v>
                      </c:pt>
                      <c:pt idx="1">
                        <c:v>-3.9440639557273727E-2</c:v>
                      </c:pt>
                      <c:pt idx="2">
                        <c:v>0.43312137284338448</c:v>
                      </c:pt>
                      <c:pt idx="3">
                        <c:v>0.21880563526321062</c:v>
                      </c:pt>
                      <c:pt idx="4">
                        <c:v>-0.84992546620480702</c:v>
                      </c:pt>
                      <c:pt idx="5">
                        <c:v>-1.3992959321927074</c:v>
                      </c:pt>
                      <c:pt idx="6">
                        <c:v>-1.1747137640408951</c:v>
                      </c:pt>
                      <c:pt idx="7">
                        <c:v>-1.5510011195866742</c:v>
                      </c:pt>
                      <c:pt idx="8">
                        <c:v>-2.0181539448946602</c:v>
                      </c:pt>
                      <c:pt idx="9">
                        <c:v>-1.5054121133953196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7A6-4EFD-91F8-6075A9B022C1}"/>
                  </c:ext>
                </c:extLst>
              </c15:ser>
            </c15:filteredScatterSeries>
            <c15:filteredScatterSeries>
              <c15:ser>
                <c:idx val="9"/>
                <c:order val="7"/>
                <c:tx>
                  <c:v>2 barrier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'reaction diagram correct_Pd'!$G$35:$G$43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  <c:pt idx="7">
                        <c:v>16</c:v>
                      </c:pt>
                      <c:pt idx="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'reaction diagram correct_Pd'!$H$35:$H$43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0.31</c:v>
                      </c:pt>
                      <c:pt idx="1">
                        <c:v>-3.9440639557273727E-2</c:v>
                      </c:pt>
                      <c:pt idx="2">
                        <c:v>0.97312137284338451</c:v>
                      </c:pt>
                      <c:pt idx="3">
                        <c:v>0.48880563526321064</c:v>
                      </c:pt>
                      <c:pt idx="4">
                        <c:v>-0.14992546620480707</c:v>
                      </c:pt>
                      <c:pt idx="5">
                        <c:v>-1.3992959321927074</c:v>
                      </c:pt>
                      <c:pt idx="6">
                        <c:v>-0.71471376404089515</c:v>
                      </c:pt>
                      <c:pt idx="7">
                        <c:v>-1.2410011195866741</c:v>
                      </c:pt>
                      <c:pt idx="8">
                        <c:v>-2.0181539448946602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7A6-4EFD-91F8-6075A9B022C1}"/>
                  </c:ext>
                </c:extLst>
              </c15:ser>
            </c15:filteredScatterSeries>
          </c:ext>
        </c:extLst>
      </c:scatterChart>
      <c:valAx>
        <c:axId val="668328431"/>
        <c:scaling>
          <c:orientation val="minMax"/>
          <c:max val="23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56271"/>
        <c:crossesAt val="-5"/>
        <c:crossBetween val="midCat"/>
      </c:valAx>
      <c:valAx>
        <c:axId val="668356271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en-US" sz="2400" b="1" baseline="0">
                    <a:solidFill>
                      <a:sysClr val="windowText" lastClr="000000"/>
                    </a:solidFill>
                  </a:rPr>
                  <a:t> free energy (eV)</a:t>
                </a:r>
                <a:endParaRPr lang="en-US" sz="24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28431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4"/>
            <c:spPr>
              <a:noFill/>
              <a:ln w="3175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'reaction diagram correct_Pd'!$P$44:$P$52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</c:numCache>
            </c:numRef>
          </c:xVal>
          <c:yVal>
            <c:numRef>
              <c:f>'reaction diagram correct_Pd'!$Q$44:$Q$52</c:f>
              <c:numCache>
                <c:formatCode>0.00</c:formatCode>
                <c:ptCount val="9"/>
                <c:pt idx="0">
                  <c:v>0</c:v>
                </c:pt>
                <c:pt idx="1">
                  <c:v>-7.9911711565223698E-3</c:v>
                </c:pt>
                <c:pt idx="2">
                  <c:v>0.57818653614530646</c:v>
                </c:pt>
                <c:pt idx="3">
                  <c:v>-0.66316723909871556</c:v>
                </c:pt>
                <c:pt idx="4">
                  <c:v>-0.37872468568606976</c:v>
                </c:pt>
                <c:pt idx="5">
                  <c:v>-0.93802657947289347</c:v>
                </c:pt>
                <c:pt idx="6">
                  <c:v>-1.2496200194938734</c:v>
                </c:pt>
                <c:pt idx="7">
                  <c:v>-1.843359468977873</c:v>
                </c:pt>
                <c:pt idx="8">
                  <c:v>-1.4424098933953147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28CB-4D8E-8F06-4BCA3FE2487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'reaction diagram correct_Pd'!$R$45:$R$52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xVal>
          <c:yVal>
            <c:numRef>
              <c:f>'reaction diagram correct_Pd'!$S$45:$S$52</c:f>
              <c:numCache>
                <c:formatCode>General</c:formatCode>
                <c:ptCount val="8"/>
                <c:pt idx="0">
                  <c:v>0.39</c:v>
                </c:pt>
                <c:pt idx="1">
                  <c:v>-7.9911711565223698E-3</c:v>
                </c:pt>
                <c:pt idx="2">
                  <c:v>1.0381865361453064</c:v>
                </c:pt>
                <c:pt idx="3">
                  <c:v>-0.66316723909871556</c:v>
                </c:pt>
                <c:pt idx="4">
                  <c:v>0.51127531431393025</c:v>
                </c:pt>
                <c:pt idx="5">
                  <c:v>-0.15802657947289345</c:v>
                </c:pt>
                <c:pt idx="6">
                  <c:v>-0.76962001949387338</c:v>
                </c:pt>
                <c:pt idx="7">
                  <c:v>-1.843359468977873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8CB-4D8E-8F06-4BCA3FE2487E}"/>
            </c:ext>
          </c:extLst>
        </c:ser>
        <c:ser>
          <c:idx val="4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4"/>
            <c:spPr>
              <a:noFill/>
              <a:ln w="31750" cap="flat" cmpd="sng" algn="ctr">
                <a:solidFill>
                  <a:srgbClr val="FF0000"/>
                </a:solidFill>
                <a:round/>
              </a:ln>
              <a:effectLst/>
            </c:spPr>
          </c:errBars>
          <c:xVal>
            <c:numRef>
              <c:f>'reaction diagram correct_Pd'!$P$53:$P$64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15</c:v>
                </c:pt>
              </c:numCache>
            </c:numRef>
          </c:xVal>
          <c:yVal>
            <c:numRef>
              <c:f>'reaction diagram correct_Pd'!$Q$53:$Q$64</c:f>
              <c:numCache>
                <c:formatCode>0.00</c:formatCode>
                <c:ptCount val="12"/>
                <c:pt idx="0">
                  <c:v>0</c:v>
                </c:pt>
                <c:pt idx="1">
                  <c:v>-7.9911711565223698E-3</c:v>
                </c:pt>
                <c:pt idx="2">
                  <c:v>0.57818653614530646</c:v>
                </c:pt>
                <c:pt idx="3">
                  <c:v>-0.66316723909871556</c:v>
                </c:pt>
                <c:pt idx="4">
                  <c:v>-0.37872468568606976</c:v>
                </c:pt>
                <c:pt idx="5">
                  <c:v>-1.3582151881113678</c:v>
                </c:pt>
                <c:pt idx="6">
                  <c:v>-0.96053288524636038</c:v>
                </c:pt>
                <c:pt idx="7">
                  <c:v>-3.3893231768689507</c:v>
                </c:pt>
                <c:pt idx="8">
                  <c:v>-4.0686806253624646</c:v>
                </c:pt>
                <c:pt idx="9">
                  <c:v>-3.7842380719498188</c:v>
                </c:pt>
                <c:pt idx="10">
                  <c:v>-3.8401884105147879</c:v>
                </c:pt>
                <c:pt idx="11">
                  <c:v>-1.2938078841607794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B-4D8E-8F06-4BCA3FE2487E}"/>
            </c:ext>
          </c:extLst>
        </c:ser>
        <c:ser>
          <c:idx val="5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'reaction diagram correct_Pd'!$R$54:$R$64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14</c:v>
                </c:pt>
              </c:numCache>
            </c:numRef>
          </c:xVal>
          <c:yVal>
            <c:numRef>
              <c:f>'reaction diagram correct_Pd'!$S$54:$S$64</c:f>
              <c:numCache>
                <c:formatCode>General</c:formatCode>
                <c:ptCount val="11"/>
                <c:pt idx="0">
                  <c:v>0.39</c:v>
                </c:pt>
                <c:pt idx="1">
                  <c:v>-7.9911711565223698E-3</c:v>
                </c:pt>
                <c:pt idx="2">
                  <c:v>1.0381865361453064</c:v>
                </c:pt>
                <c:pt idx="3">
                  <c:v>-0.66316723909871556</c:v>
                </c:pt>
                <c:pt idx="4">
                  <c:v>-0.37872468568606976</c:v>
                </c:pt>
                <c:pt idx="5">
                  <c:v>-0.47821518811136776</c:v>
                </c:pt>
                <c:pt idx="6" formatCode="0.00">
                  <c:v>-0.34053288524636038</c:v>
                </c:pt>
                <c:pt idx="7">
                  <c:v>-2.6893231768689505</c:v>
                </c:pt>
                <c:pt idx="8">
                  <c:v>-4.0686806253624646</c:v>
                </c:pt>
                <c:pt idx="9">
                  <c:v>-3.7842380719498188</c:v>
                </c:pt>
                <c:pt idx="10" formatCode="0.00">
                  <c:v>-0.96053288524636038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B-4D8E-8F06-4BCA3FE24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28431"/>
        <c:axId val="66835627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4"/>
                <c:tx>
                  <c:v>4 reaction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'reaction diagram correct_Pd'!$E$53:$E$64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3</c:v>
                      </c:pt>
                      <c:pt idx="2">
                        <c:v>5</c:v>
                      </c:pt>
                      <c:pt idx="3">
                        <c:v>7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17</c:v>
                      </c:pt>
                      <c:pt idx="9">
                        <c:v>19</c:v>
                      </c:pt>
                      <c:pt idx="10">
                        <c:v>21</c:v>
                      </c:pt>
                      <c:pt idx="11">
                        <c:v>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'reaction diagram correct_Pd'!$F$53:$F$64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0</c:v>
                      </c:pt>
                      <c:pt idx="1">
                        <c:v>-3.9440639557273727E-2</c:v>
                      </c:pt>
                      <c:pt idx="2">
                        <c:v>0.43312137284338448</c:v>
                      </c:pt>
                      <c:pt idx="3">
                        <c:v>-0.89205771527260325</c:v>
                      </c:pt>
                      <c:pt idx="4">
                        <c:v>-0.66747554712079094</c:v>
                      </c:pt>
                      <c:pt idx="5">
                        <c:v>-2.3801215075219293</c:v>
                      </c:pt>
                      <c:pt idx="6">
                        <c:v>-1.4478283299837731</c:v>
                      </c:pt>
                      <c:pt idx="7">
                        <c:v>-3.6664447701361187</c:v>
                      </c:pt>
                      <c:pt idx="8">
                        <c:v>-4.2158152361240191</c:v>
                      </c:pt>
                      <c:pt idx="9">
                        <c:v>-3.9912330679722068</c:v>
                      </c:pt>
                      <c:pt idx="10">
                        <c:v>-3.9031906305150024</c:v>
                      </c:pt>
                      <c:pt idx="11">
                        <c:v>-1.3568101041608802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28CB-4D8E-8F06-4BCA3FE2487E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v>4 barrier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'reaction diagram correct_Pd'!$G$54:$G$64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  <c:pt idx="7">
                        <c:v>16</c:v>
                      </c:pt>
                      <c:pt idx="8">
                        <c:v>18</c:v>
                      </c:pt>
                      <c:pt idx="9">
                        <c:v>20</c:v>
                      </c:pt>
                      <c:pt idx="10">
                        <c:v>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'reaction diagram correct_Pd'!$H$54:$H$64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0.31</c:v>
                      </c:pt>
                      <c:pt idx="1">
                        <c:v>-3.9440639557273727E-2</c:v>
                      </c:pt>
                      <c:pt idx="2">
                        <c:v>0.82312137284338449</c:v>
                      </c:pt>
                      <c:pt idx="3">
                        <c:v>-0.89205771527260325</c:v>
                      </c:pt>
                      <c:pt idx="4">
                        <c:v>-0.66747554712079094</c:v>
                      </c:pt>
                      <c:pt idx="5">
                        <c:v>-0.6301215075219293</c:v>
                      </c:pt>
                      <c:pt idx="6">
                        <c:v>-1.057828329983773</c:v>
                      </c:pt>
                      <c:pt idx="7">
                        <c:v>-2.9664447701361185</c:v>
                      </c:pt>
                      <c:pt idx="8">
                        <c:v>-4.2158152361240191</c:v>
                      </c:pt>
                      <c:pt idx="9">
                        <c:v>-3.9912330679722068</c:v>
                      </c:pt>
                      <c:pt idx="10" formatCode="0.00">
                        <c:v>-1.4478283299837731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8CB-4D8E-8F06-4BCA3FE2487E}"/>
                  </c:ext>
                </c:extLst>
              </c15:ser>
            </c15:filteredScatterSeries>
            <c15:filteredScatterSeries>
              <c15:ser>
                <c:idx val="8"/>
                <c:order val="6"/>
                <c:tx>
                  <c:v>2 reaction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'reaction diagram correct_Pd'!$E$34:$E$43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3</c:v>
                      </c:pt>
                      <c:pt idx="2">
                        <c:v>5</c:v>
                      </c:pt>
                      <c:pt idx="3">
                        <c:v>7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17</c:v>
                      </c:pt>
                      <c:pt idx="9">
                        <c:v>19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'reaction diagram correct_Pd'!$F$34:$F$43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0</c:v>
                      </c:pt>
                      <c:pt idx="1">
                        <c:v>-3.9440639557273727E-2</c:v>
                      </c:pt>
                      <c:pt idx="2">
                        <c:v>0.43312137284338448</c:v>
                      </c:pt>
                      <c:pt idx="3">
                        <c:v>0.21880563526321062</c:v>
                      </c:pt>
                      <c:pt idx="4">
                        <c:v>-0.84992546620480702</c:v>
                      </c:pt>
                      <c:pt idx="5">
                        <c:v>-1.3992959321927074</c:v>
                      </c:pt>
                      <c:pt idx="6">
                        <c:v>-1.1747137640408951</c:v>
                      </c:pt>
                      <c:pt idx="7">
                        <c:v>-1.5510011195866742</c:v>
                      </c:pt>
                      <c:pt idx="8">
                        <c:v>-2.0181539448946602</c:v>
                      </c:pt>
                      <c:pt idx="9">
                        <c:v>-1.5054121133953196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8CB-4D8E-8F06-4BCA3FE2487E}"/>
                  </c:ext>
                </c:extLst>
              </c15:ser>
            </c15:filteredScatterSeries>
            <c15:filteredScatterSeries>
              <c15:ser>
                <c:idx val="9"/>
                <c:order val="7"/>
                <c:tx>
                  <c:v>2 barrier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'reaction diagram correct_Pd'!$G$35:$G$43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  <c:pt idx="7">
                        <c:v>16</c:v>
                      </c:pt>
                      <c:pt idx="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'reaction diagram correct_Pd'!$H$35:$H$43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0.31</c:v>
                      </c:pt>
                      <c:pt idx="1">
                        <c:v>-3.9440639557273727E-2</c:v>
                      </c:pt>
                      <c:pt idx="2">
                        <c:v>0.97312137284338451</c:v>
                      </c:pt>
                      <c:pt idx="3">
                        <c:v>0.48880563526321064</c:v>
                      </c:pt>
                      <c:pt idx="4">
                        <c:v>-0.14992546620480707</c:v>
                      </c:pt>
                      <c:pt idx="5">
                        <c:v>-1.3992959321927074</c:v>
                      </c:pt>
                      <c:pt idx="6">
                        <c:v>-0.71471376404089515</c:v>
                      </c:pt>
                      <c:pt idx="7">
                        <c:v>-1.2410011195866741</c:v>
                      </c:pt>
                      <c:pt idx="8">
                        <c:v>-2.0181539448946602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8CB-4D8E-8F06-4BCA3FE2487E}"/>
                  </c:ext>
                </c:extLst>
              </c15:ser>
            </c15:filteredScatterSeries>
          </c:ext>
        </c:extLst>
      </c:scatterChart>
      <c:valAx>
        <c:axId val="668328431"/>
        <c:scaling>
          <c:orientation val="minMax"/>
          <c:max val="23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56271"/>
        <c:crossesAt val="-5"/>
        <c:crossBetween val="midCat"/>
      </c:valAx>
      <c:valAx>
        <c:axId val="668356271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en-US" sz="2400" b="1" baseline="0">
                    <a:solidFill>
                      <a:sysClr val="windowText" lastClr="000000"/>
                    </a:solidFill>
                  </a:rPr>
                  <a:t> free energy (eV)</a:t>
                </a:r>
                <a:endParaRPr lang="en-US" sz="24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28431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 reaction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4"/>
            <c:spPr>
              <a:noFill/>
              <a:ln w="31750" cap="flat" cmpd="sng" algn="ctr">
                <a:solidFill>
                  <a:srgbClr val="FF0000"/>
                </a:solidFill>
                <a:round/>
              </a:ln>
              <a:effectLst/>
            </c:spPr>
          </c:errBars>
          <c:xVal>
            <c:numRef>
              <c:f>'reaction diagram correct_Cu'!$E$25:$E$33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</c:numCache>
            </c:numRef>
          </c:xVal>
          <c:yVal>
            <c:numRef>
              <c:f>'reaction diagram correct_Cu'!$F$25:$F$33</c:f>
              <c:numCache>
                <c:formatCode>0.00</c:formatCode>
                <c:ptCount val="9"/>
                <c:pt idx="0">
                  <c:v>0</c:v>
                </c:pt>
                <c:pt idx="1">
                  <c:v>-0.34929012659498859</c:v>
                </c:pt>
                <c:pt idx="2">
                  <c:v>-0.23521720733454643</c:v>
                </c:pt>
                <c:pt idx="3">
                  <c:v>-2.3522337620298863</c:v>
                </c:pt>
                <c:pt idx="4">
                  <c:v>-2.3138182950385708</c:v>
                </c:pt>
                <c:pt idx="5">
                  <c:v>-2.1188308222018275</c:v>
                </c:pt>
                <c:pt idx="6">
                  <c:v>-2.3506567377475918</c:v>
                </c:pt>
                <c:pt idx="7">
                  <c:v>-2.6785900122145723</c:v>
                </c:pt>
                <c:pt idx="8">
                  <c:v>-2.2805518115562382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9A0F-4565-B5F8-69E8E7A4BE01}"/>
            </c:ext>
          </c:extLst>
        </c:ser>
        <c:ser>
          <c:idx val="1"/>
          <c:order val="1"/>
          <c:tx>
            <c:v>1 barrier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'reaction diagram correct_Cu'!$G$26:$G$33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xVal>
          <c:yVal>
            <c:numRef>
              <c:f>'reaction diagram correct_Cu'!$H$26:$H$33</c:f>
              <c:numCache>
                <c:formatCode>General</c:formatCode>
                <c:ptCount val="8"/>
                <c:pt idx="0">
                  <c:v>0.53</c:v>
                </c:pt>
                <c:pt idx="1">
                  <c:v>0.49070987340501138</c:v>
                </c:pt>
                <c:pt idx="2">
                  <c:v>-0.23521720733454643</c:v>
                </c:pt>
                <c:pt idx="3">
                  <c:v>-1.8322337620298863</c:v>
                </c:pt>
                <c:pt idx="4">
                  <c:v>-2.3138182950385708</c:v>
                </c:pt>
                <c:pt idx="5">
                  <c:v>-1.6288308222018275</c:v>
                </c:pt>
                <c:pt idx="6">
                  <c:v>-1.9406567377475918</c:v>
                </c:pt>
                <c:pt idx="7" formatCode="0.00">
                  <c:v>-2.6785900122145723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A0F-4565-B5F8-69E8E7A4BE01}"/>
            </c:ext>
          </c:extLst>
        </c:ser>
        <c:ser>
          <c:idx val="4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4"/>
            <c:spPr>
              <a:noFill/>
              <a:ln w="3175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'reaction diagram correct_Cu'!$E$53:$E$64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11">
                  <c:v>15</c:v>
                </c:pt>
              </c:numCache>
            </c:numRef>
          </c:xVal>
          <c:yVal>
            <c:numRef>
              <c:f>'reaction diagram correct_Cu'!$F$53:$F$64</c:f>
              <c:numCache>
                <c:formatCode>0.00</c:formatCode>
                <c:ptCount val="12"/>
                <c:pt idx="0">
                  <c:v>0</c:v>
                </c:pt>
                <c:pt idx="1">
                  <c:v>-0.37890408318590474</c:v>
                </c:pt>
                <c:pt idx="2">
                  <c:v>-0.10404830011363586</c:v>
                </c:pt>
                <c:pt idx="3">
                  <c:v>-1.4259341681183635</c:v>
                </c:pt>
                <c:pt idx="4">
                  <c:v>-1.2309466952816202</c:v>
                </c:pt>
                <c:pt idx="5">
                  <c:v>-1.9779178870101166</c:v>
                </c:pt>
                <c:pt idx="6">
                  <c:v>-1.9681066080506273</c:v>
                </c:pt>
                <c:pt idx="11">
                  <c:v>-2.1319498023216941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0F-4565-B5F8-69E8E7A4BE01}"/>
            </c:ext>
          </c:extLst>
        </c:ser>
        <c:ser>
          <c:idx val="5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'reaction diagram correct_Cu'!$G$54:$G$64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10">
                  <c:v>14</c:v>
                </c:pt>
              </c:numCache>
            </c:numRef>
          </c:xVal>
          <c:yVal>
            <c:numRef>
              <c:f>'reaction diagram correct_Cu'!$H$54:$H$64</c:f>
              <c:numCache>
                <c:formatCode>General</c:formatCode>
                <c:ptCount val="11"/>
                <c:pt idx="0">
                  <c:v>0.72</c:v>
                </c:pt>
                <c:pt idx="1">
                  <c:v>-0.37890408318590474</c:v>
                </c:pt>
                <c:pt idx="2">
                  <c:v>8.5951699886364141E-2</c:v>
                </c:pt>
                <c:pt idx="3">
                  <c:v>-1.4259341681183635</c:v>
                </c:pt>
                <c:pt idx="4">
                  <c:v>-1.2309466952816202</c:v>
                </c:pt>
                <c:pt idx="5">
                  <c:v>-1.1279178870101165</c:v>
                </c:pt>
                <c:pt idx="10" formatCode="0.00">
                  <c:v>-1.9681066080506273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0F-4565-B5F8-69E8E7A4B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28431"/>
        <c:axId val="66835627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4"/>
                <c:tx>
                  <c:v>4 reaction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'[1]reaction diagram correct_Pd'!$E$53:$E$64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3</c:v>
                      </c:pt>
                      <c:pt idx="2">
                        <c:v>5</c:v>
                      </c:pt>
                      <c:pt idx="3">
                        <c:v>7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17</c:v>
                      </c:pt>
                      <c:pt idx="9">
                        <c:v>19</c:v>
                      </c:pt>
                      <c:pt idx="10">
                        <c:v>21</c:v>
                      </c:pt>
                      <c:pt idx="11">
                        <c:v>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'[1]reaction diagram correct_Pd'!$F$53:$F$64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-3.9440639557273727E-2</c:v>
                      </c:pt>
                      <c:pt idx="2">
                        <c:v>0.43312137284338448</c:v>
                      </c:pt>
                      <c:pt idx="3">
                        <c:v>-0.89205771527260325</c:v>
                      </c:pt>
                      <c:pt idx="4">
                        <c:v>-0.66747554712079094</c:v>
                      </c:pt>
                      <c:pt idx="5">
                        <c:v>-2.3801215075219293</c:v>
                      </c:pt>
                      <c:pt idx="6">
                        <c:v>-1.4478283299837731</c:v>
                      </c:pt>
                      <c:pt idx="7">
                        <c:v>-3.6664447701361187</c:v>
                      </c:pt>
                      <c:pt idx="8">
                        <c:v>-4.2158152361240191</c:v>
                      </c:pt>
                      <c:pt idx="9">
                        <c:v>-3.9912330679722068</c:v>
                      </c:pt>
                      <c:pt idx="10">
                        <c:v>-3.9031906305150024</c:v>
                      </c:pt>
                      <c:pt idx="11">
                        <c:v>-1.3568101041608802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9A0F-4565-B5F8-69E8E7A4BE01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v>4 barrier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'[1]reaction diagram correct_Pd'!$G$54:$G$64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  <c:pt idx="7">
                        <c:v>16</c:v>
                      </c:pt>
                      <c:pt idx="8">
                        <c:v>18</c:v>
                      </c:pt>
                      <c:pt idx="9">
                        <c:v>20</c:v>
                      </c:pt>
                      <c:pt idx="10">
                        <c:v>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'[1]reaction diagram correct_Pd'!$H$54:$H$64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0.31</c:v>
                      </c:pt>
                      <c:pt idx="1">
                        <c:v>-3.9440639557273727E-2</c:v>
                      </c:pt>
                      <c:pt idx="2">
                        <c:v>0.82312137284338449</c:v>
                      </c:pt>
                      <c:pt idx="3">
                        <c:v>-0.89205771527260325</c:v>
                      </c:pt>
                      <c:pt idx="4">
                        <c:v>-0.66747554712079094</c:v>
                      </c:pt>
                      <c:pt idx="5">
                        <c:v>-0.6301215075219293</c:v>
                      </c:pt>
                      <c:pt idx="6">
                        <c:v>-1.057828329983773</c:v>
                      </c:pt>
                      <c:pt idx="7">
                        <c:v>-2.9664447701361185</c:v>
                      </c:pt>
                      <c:pt idx="8">
                        <c:v>-4.2158152361240191</c:v>
                      </c:pt>
                      <c:pt idx="9">
                        <c:v>-3.9912330679722068</c:v>
                      </c:pt>
                      <c:pt idx="10">
                        <c:v>-1.4478283299837731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A0F-4565-B5F8-69E8E7A4BE01}"/>
                  </c:ext>
                </c:extLst>
              </c15:ser>
            </c15:filteredScatterSeries>
            <c15:filteredScatterSeries>
              <c15:ser>
                <c:idx val="8"/>
                <c:order val="6"/>
                <c:tx>
                  <c:v>2 reaction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'[1]reaction diagram correct_Pd'!$E$34:$E$43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3</c:v>
                      </c:pt>
                      <c:pt idx="2">
                        <c:v>5</c:v>
                      </c:pt>
                      <c:pt idx="3">
                        <c:v>7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17</c:v>
                      </c:pt>
                      <c:pt idx="9">
                        <c:v>19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'[1]reaction diagram correct_Pd'!$F$34:$F$43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-3.9440639557273727E-2</c:v>
                      </c:pt>
                      <c:pt idx="2">
                        <c:v>0.43312137284338448</c:v>
                      </c:pt>
                      <c:pt idx="3">
                        <c:v>0.21880563526321062</c:v>
                      </c:pt>
                      <c:pt idx="4">
                        <c:v>-0.84992546620480702</c:v>
                      </c:pt>
                      <c:pt idx="5">
                        <c:v>-1.3992959321927074</c:v>
                      </c:pt>
                      <c:pt idx="6">
                        <c:v>-1.1747137640408951</c:v>
                      </c:pt>
                      <c:pt idx="7">
                        <c:v>-1.5510011195866742</c:v>
                      </c:pt>
                      <c:pt idx="8">
                        <c:v>-2.0181539448946602</c:v>
                      </c:pt>
                      <c:pt idx="9">
                        <c:v>-1.5054121133953196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A0F-4565-B5F8-69E8E7A4BE01}"/>
                  </c:ext>
                </c:extLst>
              </c15:ser>
            </c15:filteredScatterSeries>
            <c15:filteredScatterSeries>
              <c15:ser>
                <c:idx val="9"/>
                <c:order val="7"/>
                <c:tx>
                  <c:v>2 barrier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'[1]reaction diagram correct_Pd'!$G$35:$G$43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  <c:pt idx="7">
                        <c:v>16</c:v>
                      </c:pt>
                      <c:pt idx="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'[1]reaction diagram correct_Pd'!$H$35:$H$43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0.31</c:v>
                      </c:pt>
                      <c:pt idx="1">
                        <c:v>-3.9440639557273727E-2</c:v>
                      </c:pt>
                      <c:pt idx="2">
                        <c:v>0.97312137284338451</c:v>
                      </c:pt>
                      <c:pt idx="3">
                        <c:v>0.48880563526321064</c:v>
                      </c:pt>
                      <c:pt idx="4">
                        <c:v>-0.14992546620480707</c:v>
                      </c:pt>
                      <c:pt idx="5">
                        <c:v>-1.3992959321927074</c:v>
                      </c:pt>
                      <c:pt idx="6">
                        <c:v>-0.71471376404089515</c:v>
                      </c:pt>
                      <c:pt idx="7">
                        <c:v>-1.2410011195866741</c:v>
                      </c:pt>
                      <c:pt idx="8">
                        <c:v>-2.0181539448946602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A0F-4565-B5F8-69E8E7A4BE01}"/>
                  </c:ext>
                </c:extLst>
              </c15:ser>
            </c15:filteredScatterSeries>
          </c:ext>
        </c:extLst>
      </c:scatterChart>
      <c:valAx>
        <c:axId val="668328431"/>
        <c:scaling>
          <c:orientation val="minMax"/>
          <c:max val="18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668356271"/>
        <c:crossesAt val="-3.5"/>
        <c:crossBetween val="midCat"/>
      </c:valAx>
      <c:valAx>
        <c:axId val="668356271"/>
        <c:scaling>
          <c:orientation val="minMax"/>
          <c:max val="1"/>
          <c:min val="-3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en-US" sz="2400" b="1" baseline="0">
                    <a:solidFill>
                      <a:sysClr val="windowText" lastClr="000000"/>
                    </a:solidFill>
                  </a:rPr>
                  <a:t> free energy (eV)</a:t>
                </a:r>
                <a:endParaRPr lang="en-US" sz="24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28431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4"/>
            <c:spPr>
              <a:noFill/>
              <a:ln w="31750" cap="flat" cmpd="sng" algn="ctr">
                <a:solidFill>
                  <a:srgbClr val="FF0000"/>
                </a:solidFill>
                <a:round/>
              </a:ln>
              <a:effectLst/>
            </c:spPr>
          </c:errBars>
          <c:xVal>
            <c:numRef>
              <c:f>'reaction diagram correct_Cu'!$P$25:$P$33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</c:numCache>
            </c:numRef>
          </c:xVal>
          <c:yVal>
            <c:numRef>
              <c:f>'reaction diagram correct_Cu'!$Q$25:$Q$33</c:f>
              <c:numCache>
                <c:formatCode>0.00</c:formatCode>
                <c:ptCount val="9"/>
                <c:pt idx="0">
                  <c:v>0</c:v>
                </c:pt>
                <c:pt idx="1">
                  <c:v>-0.72054350765544406</c:v>
                </c:pt>
                <c:pt idx="2">
                  <c:v>-0.67489603167208045</c:v>
                </c:pt>
                <c:pt idx="3">
                  <c:v>-2.6590270235358453</c:v>
                </c:pt>
                <c:pt idx="4">
                  <c:v>-2.9186970152645682</c:v>
                </c:pt>
                <c:pt idx="5">
                  <c:v>-2.4166978724277879</c:v>
                </c:pt>
                <c:pt idx="6">
                  <c:v>-2.4998989962664169</c:v>
                </c:pt>
                <c:pt idx="7">
                  <c:v>-3.4032094080630646</c:v>
                </c:pt>
                <c:pt idx="8">
                  <c:v>-2.5188183615562298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473D-4AD6-8D02-E562BC5A8AF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'reaction diagram correct_Cu'!$R$26:$R$33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xVal>
          <c:yVal>
            <c:numRef>
              <c:f>'reaction diagram correct_Cu'!$S$26:$S$33</c:f>
              <c:numCache>
                <c:formatCode>General</c:formatCode>
                <c:ptCount val="8"/>
                <c:pt idx="0">
                  <c:v>0.54</c:v>
                </c:pt>
                <c:pt idx="1">
                  <c:v>-0.22054350765544406</c:v>
                </c:pt>
                <c:pt idx="2">
                  <c:v>-0.42489603167208045</c:v>
                </c:pt>
                <c:pt idx="3">
                  <c:v>-2.1390270235358453</c:v>
                </c:pt>
                <c:pt idx="4">
                  <c:v>-2.9186970152645682</c:v>
                </c:pt>
                <c:pt idx="5">
                  <c:v>-1.4866978724277877</c:v>
                </c:pt>
                <c:pt idx="6">
                  <c:v>-2.349898996266417</c:v>
                </c:pt>
                <c:pt idx="7">
                  <c:v>-3.4032094080630646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73D-4AD6-8D02-E562BC5A8AF7}"/>
            </c:ext>
          </c:extLst>
        </c:ser>
        <c:ser>
          <c:idx val="4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fixedVal"/>
            <c:noEndCap val="1"/>
            <c:val val="0.4"/>
            <c:spPr>
              <a:noFill/>
              <a:ln w="3175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'reaction diagram correct_Cu'!$P$53:$P$64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11">
                  <c:v>15</c:v>
                </c:pt>
              </c:numCache>
            </c:numRef>
          </c:xVal>
          <c:yVal>
            <c:numRef>
              <c:f>'reaction diagram correct_Cu'!$Q$53:$Q$64</c:f>
              <c:numCache>
                <c:formatCode>0.00</c:formatCode>
                <c:ptCount val="12"/>
                <c:pt idx="0">
                  <c:v>0</c:v>
                </c:pt>
                <c:pt idx="1">
                  <c:v>-0.77478951263829643</c:v>
                </c:pt>
                <c:pt idx="2">
                  <c:v>-0.10314422611419971</c:v>
                </c:pt>
                <c:pt idx="3">
                  <c:v>-1.6333568782055359</c:v>
                </c:pt>
                <c:pt idx="4">
                  <c:v>-1.1313577353687556</c:v>
                </c:pt>
                <c:pt idx="5">
                  <c:v>-2.229041949854528</c:v>
                </c:pt>
                <c:pt idx="6">
                  <c:v>-2.4624757736826641</c:v>
                </c:pt>
                <c:pt idx="11">
                  <c:v>-2.3702163523216573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3D-4AD6-8D02-E562BC5A8AF7}"/>
            </c:ext>
          </c:extLst>
        </c:ser>
        <c:ser>
          <c:idx val="5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'reaction diagram correct_Cu'!$R$54:$R$64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10">
                  <c:v>14</c:v>
                </c:pt>
              </c:numCache>
            </c:numRef>
          </c:xVal>
          <c:yVal>
            <c:numRef>
              <c:f>'reaction diagram correct_Cu'!$S$54:$S$64</c:f>
              <c:numCache>
                <c:formatCode>General</c:formatCode>
                <c:ptCount val="11"/>
                <c:pt idx="0">
                  <c:v>0.71</c:v>
                </c:pt>
                <c:pt idx="1">
                  <c:v>-0.77478951263829643</c:v>
                </c:pt>
                <c:pt idx="2">
                  <c:v>0.88685577388580028</c:v>
                </c:pt>
                <c:pt idx="3">
                  <c:v>-1.6333568782055359</c:v>
                </c:pt>
                <c:pt idx="4">
                  <c:v>-1.1313577353687556</c:v>
                </c:pt>
                <c:pt idx="5">
                  <c:v>-1.3690419498545281</c:v>
                </c:pt>
                <c:pt idx="10" formatCode="0.00">
                  <c:v>-2.4624757736826641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3D-4AD6-8D02-E562BC5A8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28431"/>
        <c:axId val="66835627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4"/>
                <c:tx>
                  <c:v>4 reaction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'[1]reaction diagram correct_Pd'!$E$53:$E$64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3</c:v>
                      </c:pt>
                      <c:pt idx="2">
                        <c:v>5</c:v>
                      </c:pt>
                      <c:pt idx="3">
                        <c:v>7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17</c:v>
                      </c:pt>
                      <c:pt idx="9">
                        <c:v>19</c:v>
                      </c:pt>
                      <c:pt idx="10">
                        <c:v>21</c:v>
                      </c:pt>
                      <c:pt idx="11">
                        <c:v>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'[1]reaction diagram correct_Pd'!$F$53:$F$64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-3.9440639557273727E-2</c:v>
                      </c:pt>
                      <c:pt idx="2">
                        <c:v>0.43312137284338448</c:v>
                      </c:pt>
                      <c:pt idx="3">
                        <c:v>-0.89205771527260325</c:v>
                      </c:pt>
                      <c:pt idx="4">
                        <c:v>-0.66747554712079094</c:v>
                      </c:pt>
                      <c:pt idx="5">
                        <c:v>-2.3801215075219293</c:v>
                      </c:pt>
                      <c:pt idx="6">
                        <c:v>-1.4478283299837731</c:v>
                      </c:pt>
                      <c:pt idx="7">
                        <c:v>-3.6664447701361187</c:v>
                      </c:pt>
                      <c:pt idx="8">
                        <c:v>-4.2158152361240191</c:v>
                      </c:pt>
                      <c:pt idx="9">
                        <c:v>-3.9912330679722068</c:v>
                      </c:pt>
                      <c:pt idx="10">
                        <c:v>-3.9031906305150024</c:v>
                      </c:pt>
                      <c:pt idx="11">
                        <c:v>-1.3568101041608802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473D-4AD6-8D02-E562BC5A8AF7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v>4 barrier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1"/>
                    </a:solidFill>
                    <a:ln w="9525">
                      <a:solidFill>
                        <a:schemeClr val="tx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'[1]reaction diagram correct_Pd'!$G$54:$G$64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  <c:pt idx="7">
                        <c:v>16</c:v>
                      </c:pt>
                      <c:pt idx="8">
                        <c:v>18</c:v>
                      </c:pt>
                      <c:pt idx="9">
                        <c:v>20</c:v>
                      </c:pt>
                      <c:pt idx="10">
                        <c:v>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'[1]reaction diagram correct_Pd'!$H$54:$H$64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0.31</c:v>
                      </c:pt>
                      <c:pt idx="1">
                        <c:v>-3.9440639557273727E-2</c:v>
                      </c:pt>
                      <c:pt idx="2">
                        <c:v>0.82312137284338449</c:v>
                      </c:pt>
                      <c:pt idx="3">
                        <c:v>-0.89205771527260325</c:v>
                      </c:pt>
                      <c:pt idx="4">
                        <c:v>-0.66747554712079094</c:v>
                      </c:pt>
                      <c:pt idx="5">
                        <c:v>-0.6301215075219293</c:v>
                      </c:pt>
                      <c:pt idx="6">
                        <c:v>-1.057828329983773</c:v>
                      </c:pt>
                      <c:pt idx="7">
                        <c:v>-2.9664447701361185</c:v>
                      </c:pt>
                      <c:pt idx="8">
                        <c:v>-4.2158152361240191</c:v>
                      </c:pt>
                      <c:pt idx="9">
                        <c:v>-3.9912330679722068</c:v>
                      </c:pt>
                      <c:pt idx="10">
                        <c:v>-1.4478283299837731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73D-4AD6-8D02-E562BC5A8AF7}"/>
                  </c:ext>
                </c:extLst>
              </c15:ser>
            </c15:filteredScatterSeries>
            <c15:filteredScatterSeries>
              <c15:ser>
                <c:idx val="8"/>
                <c:order val="6"/>
                <c:tx>
                  <c:v>2 reaction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'[1]reaction diagram correct_Pd'!$E$34:$E$43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3</c:v>
                      </c:pt>
                      <c:pt idx="2">
                        <c:v>5</c:v>
                      </c:pt>
                      <c:pt idx="3">
                        <c:v>7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17</c:v>
                      </c:pt>
                      <c:pt idx="9">
                        <c:v>19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'[1]reaction diagram correct_Pd'!$F$34:$F$43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-3.9440639557273727E-2</c:v>
                      </c:pt>
                      <c:pt idx="2">
                        <c:v>0.43312137284338448</c:v>
                      </c:pt>
                      <c:pt idx="3">
                        <c:v>0.21880563526321062</c:v>
                      </c:pt>
                      <c:pt idx="4">
                        <c:v>-0.84992546620480702</c:v>
                      </c:pt>
                      <c:pt idx="5">
                        <c:v>-1.3992959321927074</c:v>
                      </c:pt>
                      <c:pt idx="6">
                        <c:v>-1.1747137640408951</c:v>
                      </c:pt>
                      <c:pt idx="7">
                        <c:v>-1.5510011195866742</c:v>
                      </c:pt>
                      <c:pt idx="8">
                        <c:v>-2.0181539448946602</c:v>
                      </c:pt>
                      <c:pt idx="9">
                        <c:v>-1.5054121133953196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73D-4AD6-8D02-E562BC5A8AF7}"/>
                  </c:ext>
                </c:extLst>
              </c15:ser>
            </c15:filteredScatterSeries>
            <c15:filteredScatterSeries>
              <c15:ser>
                <c:idx val="9"/>
                <c:order val="7"/>
                <c:tx>
                  <c:v>2 barrier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'[1]reaction diagram correct_Pd'!$G$35:$G$43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  <c:pt idx="7">
                        <c:v>16</c:v>
                      </c:pt>
                      <c:pt idx="8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'[1]reaction diagram correct_Pd'!$H$35:$H$43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0.31</c:v>
                      </c:pt>
                      <c:pt idx="1">
                        <c:v>-3.9440639557273727E-2</c:v>
                      </c:pt>
                      <c:pt idx="2">
                        <c:v>0.97312137284338451</c:v>
                      </c:pt>
                      <c:pt idx="3">
                        <c:v>0.48880563526321064</c:v>
                      </c:pt>
                      <c:pt idx="4">
                        <c:v>-0.14992546620480707</c:v>
                      </c:pt>
                      <c:pt idx="5">
                        <c:v>-1.3992959321927074</c:v>
                      </c:pt>
                      <c:pt idx="6">
                        <c:v>-0.71471376404089515</c:v>
                      </c:pt>
                      <c:pt idx="7">
                        <c:v>-1.2410011195866741</c:v>
                      </c:pt>
                      <c:pt idx="8">
                        <c:v>-2.0181539448946602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73D-4AD6-8D02-E562BC5A8AF7}"/>
                  </c:ext>
                </c:extLst>
              </c15:ser>
            </c15:filteredScatterSeries>
          </c:ext>
        </c:extLst>
      </c:scatterChart>
      <c:valAx>
        <c:axId val="668328431"/>
        <c:scaling>
          <c:orientation val="minMax"/>
          <c:max val="18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668356271"/>
        <c:crossesAt val="-3.5"/>
        <c:crossBetween val="midCat"/>
      </c:valAx>
      <c:valAx>
        <c:axId val="668356271"/>
        <c:scaling>
          <c:orientation val="minMax"/>
          <c:max val="1"/>
          <c:min val="-3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en-US" sz="2400" b="1" baseline="0">
                    <a:solidFill>
                      <a:sysClr val="windowText" lastClr="000000"/>
                    </a:solidFill>
                  </a:rPr>
                  <a:t> free energy (eV)</a:t>
                </a:r>
                <a:endParaRPr lang="en-US" sz="24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28431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6047</xdr:rowOff>
    </xdr:from>
    <xdr:to>
      <xdr:col>16</xdr:col>
      <xdr:colOff>77506</xdr:colOff>
      <xdr:row>105</xdr:row>
      <xdr:rowOff>30431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3BFEC5-C782-402F-BCA0-2C65D9EBD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52</xdr:row>
      <xdr:rowOff>74083</xdr:rowOff>
    </xdr:from>
    <xdr:to>
      <xdr:col>40</xdr:col>
      <xdr:colOff>172756</xdr:colOff>
      <xdr:row>104</xdr:row>
      <xdr:rowOff>98467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8EEF30-1999-4692-B811-3A2CF16F3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106</xdr:row>
      <xdr:rowOff>0</xdr:rowOff>
    </xdr:from>
    <xdr:to>
      <xdr:col>16</xdr:col>
      <xdr:colOff>77506</xdr:colOff>
      <xdr:row>158</xdr:row>
      <xdr:rowOff>24384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6DCF3C-76F1-4380-A0B4-242B0AA6F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73269</xdr:colOff>
      <xdr:row>106</xdr:row>
      <xdr:rowOff>48846</xdr:rowOff>
    </xdr:from>
    <xdr:to>
      <xdr:col>40</xdr:col>
      <xdr:colOff>246024</xdr:colOff>
      <xdr:row>158</xdr:row>
      <xdr:rowOff>73230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D6705E-E1C6-4A27-9C92-0B36BDCC1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68</xdr:row>
      <xdr:rowOff>0</xdr:rowOff>
    </xdr:from>
    <xdr:to>
      <xdr:col>6</xdr:col>
      <xdr:colOff>356222</xdr:colOff>
      <xdr:row>95</xdr:row>
      <xdr:rowOff>150444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BEDCB-E62E-45B6-92E1-658B5E85F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21</xdr:col>
      <xdr:colOff>508623</xdr:colOff>
      <xdr:row>95</xdr:row>
      <xdr:rowOff>150444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50CCF7-144F-4D5C-865A-57D96526F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10</xdr:col>
      <xdr:colOff>578329</xdr:colOff>
      <xdr:row>93</xdr:row>
      <xdr:rowOff>139390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D81DF6-8449-48D5-BDAF-7B943B295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576203</xdr:colOff>
      <xdr:row>65</xdr:row>
      <xdr:rowOff>58796</xdr:rowOff>
    </xdr:from>
    <xdr:to>
      <xdr:col>23</xdr:col>
      <xdr:colOff>150472</xdr:colOff>
      <xdr:row>93</xdr:row>
      <xdr:rowOff>10038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807C46-2D72-46EF-A1E8-C15407462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c199\Box\PFOA\nitrate\nitrate.xlsx" TargetMode="External"/><Relationship Id="rId1" Type="http://schemas.openxmlformats.org/officeDocument/2006/relationships/externalLinkPath" Target="file:///C:\Users\yc199\Box\PFOA\nitrate\nit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vergence"/>
      <sheetName val="FCC_layeredL11_NO3 ads vs.BCC"/>
      <sheetName val="FCC vs BCC_NO2_ads"/>
      <sheetName val="Pd 111 "/>
      <sheetName val="2x2"/>
      <sheetName val="summary"/>
      <sheetName val="charge state "/>
      <sheetName val="DOS_Cu111"/>
      <sheetName val="DOS_Cu100"/>
      <sheetName val="reaction diagram"/>
      <sheetName val="DOS_HNO3_on 1layerUPD"/>
      <sheetName val="selectivity on Cu100 and Pd low"/>
      <sheetName val="migration diagram"/>
      <sheetName val="Sheet1"/>
      <sheetName val="N-NO coupling"/>
      <sheetName val="NO adsorption analysis"/>
      <sheetName val="selectivity HNO NOH high"/>
      <sheetName val="barrier"/>
      <sheetName val="MKM_Cu"/>
      <sheetName val="MKM_Pd"/>
      <sheetName val="electrochemical selectivity"/>
      <sheetName val="formation free energy"/>
      <sheetName val="NO adsorption vs. N-N barrier"/>
      <sheetName val="NH formation on Pd (100)"/>
      <sheetName val="correct NH"/>
      <sheetName val="reaction network Cu"/>
      <sheetName val="diagram correct_Pd pH = 7"/>
      <sheetName val="reaction diagram correct_Pd"/>
      <sheetName val="freq"/>
      <sheetName val="diagram correct_Cu pH=7"/>
      <sheetName val="reaction diagram correct_Cu"/>
      <sheetName val="reaction network Cu -0.5 V"/>
      <sheetName val="correct NOH vs HNO"/>
      <sheetName val="reaction network Pd"/>
      <sheetName val="reaction mechanism landscape"/>
      <sheetName val="reaction network Pd -0.5 V"/>
      <sheetName val="reaction net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R1">
            <v>1</v>
          </cell>
        </row>
      </sheetData>
      <sheetData sheetId="21"/>
      <sheetData sheetId="22"/>
      <sheetData sheetId="23"/>
      <sheetData sheetId="24"/>
      <sheetData sheetId="25"/>
      <sheetData sheetId="26"/>
      <sheetData sheetId="27">
        <row r="34">
          <cell r="E34">
            <v>1</v>
          </cell>
          <cell r="F34">
            <v>0</v>
          </cell>
        </row>
        <row r="35">
          <cell r="E35">
            <v>3</v>
          </cell>
          <cell r="F35">
            <v>-3.9440639557273727E-2</v>
          </cell>
          <cell r="G35">
            <v>2</v>
          </cell>
          <cell r="H35">
            <v>0.31</v>
          </cell>
        </row>
        <row r="36">
          <cell r="E36">
            <v>5</v>
          </cell>
          <cell r="F36">
            <v>0.43312137284338448</v>
          </cell>
          <cell r="G36">
            <v>4</v>
          </cell>
          <cell r="H36">
            <v>-3.9440639557273727E-2</v>
          </cell>
        </row>
        <row r="37">
          <cell r="E37">
            <v>7</v>
          </cell>
          <cell r="F37">
            <v>0.21880563526321062</v>
          </cell>
          <cell r="G37">
            <v>6</v>
          </cell>
          <cell r="H37">
            <v>0.97312137284338451</v>
          </cell>
        </row>
        <row r="38">
          <cell r="E38">
            <v>9</v>
          </cell>
          <cell r="F38">
            <v>-0.84992546620480702</v>
          </cell>
          <cell r="G38">
            <v>8</v>
          </cell>
          <cell r="H38">
            <v>0.48880563526321064</v>
          </cell>
        </row>
        <row r="39">
          <cell r="E39">
            <v>11</v>
          </cell>
          <cell r="F39">
            <v>-1.3992959321927074</v>
          </cell>
          <cell r="G39">
            <v>10</v>
          </cell>
          <cell r="H39">
            <v>-0.14992546620480707</v>
          </cell>
        </row>
        <row r="40">
          <cell r="E40">
            <v>13</v>
          </cell>
          <cell r="F40">
            <v>-1.1747137640408951</v>
          </cell>
          <cell r="G40">
            <v>12</v>
          </cell>
          <cell r="H40">
            <v>-1.3992959321927074</v>
          </cell>
        </row>
        <row r="41">
          <cell r="E41">
            <v>15</v>
          </cell>
          <cell r="F41">
            <v>-1.5510011195866742</v>
          </cell>
          <cell r="G41">
            <v>14</v>
          </cell>
          <cell r="H41">
            <v>-0.71471376404089515</v>
          </cell>
        </row>
        <row r="42">
          <cell r="E42">
            <v>17</v>
          </cell>
          <cell r="F42">
            <v>-2.0181539448946602</v>
          </cell>
          <cell r="G42">
            <v>16</v>
          </cell>
          <cell r="H42">
            <v>-1.2410011195866741</v>
          </cell>
        </row>
        <row r="43">
          <cell r="E43">
            <v>19</v>
          </cell>
          <cell r="F43">
            <v>-1.5054121133953196</v>
          </cell>
          <cell r="G43">
            <v>18</v>
          </cell>
          <cell r="H43">
            <v>-2.0181539448946602</v>
          </cell>
        </row>
        <row r="53">
          <cell r="E53">
            <v>1</v>
          </cell>
          <cell r="F53">
            <v>0</v>
          </cell>
        </row>
        <row r="54">
          <cell r="E54">
            <v>3</v>
          </cell>
          <cell r="F54">
            <v>-3.9440639557273727E-2</v>
          </cell>
          <cell r="G54">
            <v>2</v>
          </cell>
          <cell r="H54">
            <v>0.31</v>
          </cell>
        </row>
        <row r="55">
          <cell r="E55">
            <v>5</v>
          </cell>
          <cell r="F55">
            <v>0.43312137284338448</v>
          </cell>
          <cell r="G55">
            <v>4</v>
          </cell>
          <cell r="H55">
            <v>-3.9440639557273727E-2</v>
          </cell>
        </row>
        <row r="56">
          <cell r="E56">
            <v>7</v>
          </cell>
          <cell r="F56">
            <v>-0.89205771527260325</v>
          </cell>
          <cell r="G56">
            <v>6</v>
          </cell>
          <cell r="H56">
            <v>0.82312137284338449</v>
          </cell>
        </row>
        <row r="57">
          <cell r="E57">
            <v>9</v>
          </cell>
          <cell r="F57">
            <v>-0.66747554712079094</v>
          </cell>
          <cell r="G57">
            <v>8</v>
          </cell>
          <cell r="H57">
            <v>-0.89205771527260325</v>
          </cell>
        </row>
        <row r="58">
          <cell r="E58">
            <v>11</v>
          </cell>
          <cell r="F58">
            <v>-2.3801215075219293</v>
          </cell>
          <cell r="G58">
            <v>10</v>
          </cell>
          <cell r="H58">
            <v>-0.66747554712079094</v>
          </cell>
        </row>
        <row r="59">
          <cell r="E59">
            <v>13</v>
          </cell>
          <cell r="F59">
            <v>-1.4478283299837731</v>
          </cell>
          <cell r="G59">
            <v>12</v>
          </cell>
          <cell r="H59">
            <v>-0.6301215075219293</v>
          </cell>
        </row>
        <row r="60">
          <cell r="E60">
            <v>15</v>
          </cell>
          <cell r="F60">
            <v>-3.6664447701361187</v>
          </cell>
          <cell r="G60">
            <v>14</v>
          </cell>
          <cell r="H60">
            <v>-1.057828329983773</v>
          </cell>
        </row>
        <row r="61">
          <cell r="E61">
            <v>17</v>
          </cell>
          <cell r="F61">
            <v>-4.2158152361240191</v>
          </cell>
          <cell r="G61">
            <v>16</v>
          </cell>
          <cell r="H61">
            <v>-2.9664447701361185</v>
          </cell>
        </row>
        <row r="62">
          <cell r="E62">
            <v>19</v>
          </cell>
          <cell r="F62">
            <v>-3.9912330679722068</v>
          </cell>
          <cell r="G62">
            <v>18</v>
          </cell>
          <cell r="H62">
            <v>-4.2158152361240191</v>
          </cell>
        </row>
        <row r="63">
          <cell r="E63">
            <v>21</v>
          </cell>
          <cell r="F63">
            <v>-3.9031906305150024</v>
          </cell>
          <cell r="G63">
            <v>20</v>
          </cell>
          <cell r="H63">
            <v>-3.9912330679722068</v>
          </cell>
        </row>
        <row r="64">
          <cell r="E64">
            <v>15</v>
          </cell>
          <cell r="F64">
            <v>-1.3568101041608802</v>
          </cell>
          <cell r="G64">
            <v>14</v>
          </cell>
          <cell r="H64">
            <v>-1.4478283299837731</v>
          </cell>
        </row>
      </sheetData>
      <sheetData sheetId="28"/>
      <sheetData sheetId="29"/>
      <sheetData sheetId="30">
        <row r="25">
          <cell r="E25">
            <v>1</v>
          </cell>
        </row>
      </sheetData>
      <sheetData sheetId="31"/>
      <sheetData sheetId="32"/>
      <sheetData sheetId="33"/>
      <sheetData sheetId="34"/>
      <sheetData sheetId="35"/>
      <sheetData sheetId="3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0614-C617-4007-9600-FFA199D3044F}">
  <dimension ref="A1:T30"/>
  <sheetViews>
    <sheetView topLeftCell="A58" zoomScale="26" zoomScaleNormal="110" workbookViewId="0">
      <selection activeCell="P20" sqref="P20"/>
    </sheetView>
  </sheetViews>
  <sheetFormatPr defaultRowHeight="14.5" x14ac:dyDescent="0.35"/>
  <cols>
    <col min="1" max="1" width="12.81640625" customWidth="1"/>
    <col min="9" max="9" width="33.26953125" customWidth="1"/>
    <col min="12" max="12" width="41.453125" customWidth="1"/>
    <col min="13" max="14" width="21.26953125" customWidth="1"/>
  </cols>
  <sheetData>
    <row r="1" spans="1:20" x14ac:dyDescent="0.35">
      <c r="A1" t="s">
        <v>63</v>
      </c>
      <c r="B1" t="s">
        <v>72</v>
      </c>
      <c r="R1">
        <v>1</v>
      </c>
      <c r="S1">
        <v>2</v>
      </c>
      <c r="T1">
        <v>3</v>
      </c>
    </row>
    <row r="2" spans="1:20" x14ac:dyDescent="0.35"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L2" t="s">
        <v>39</v>
      </c>
      <c r="M2" t="s">
        <v>81</v>
      </c>
      <c r="N2" t="s">
        <v>82</v>
      </c>
      <c r="O2" t="s">
        <v>83</v>
      </c>
      <c r="P2" t="s">
        <v>84</v>
      </c>
      <c r="R2" t="s">
        <v>85</v>
      </c>
      <c r="S2" t="s">
        <v>86</v>
      </c>
      <c r="T2" t="s">
        <v>87</v>
      </c>
    </row>
    <row r="3" spans="1:20" x14ac:dyDescent="0.35">
      <c r="A3" t="s">
        <v>12</v>
      </c>
      <c r="B3">
        <v>-350.86498963999998</v>
      </c>
      <c r="C3">
        <v>0.16177577947933769</v>
      </c>
      <c r="D3">
        <v>7.1028782684009606</v>
      </c>
      <c r="E3">
        <v>0.14358389079800779</v>
      </c>
      <c r="F3">
        <v>0</v>
      </c>
      <c r="G3">
        <v>0</v>
      </c>
      <c r="I3">
        <f>B3-E3-(F3+G3)*298.15/1000/23.06+C3+D3/96.48+H3</f>
        <v>-350.77317753709394</v>
      </c>
      <c r="L3" s="4" t="s">
        <v>42</v>
      </c>
      <c r="M3">
        <f>I4-I3-0.5*I5</f>
        <v>0.20798796020780763</v>
      </c>
      <c r="N3">
        <f>-M3</f>
        <v>-0.20798796020780763</v>
      </c>
      <c r="O3">
        <v>0.87832500000001801</v>
      </c>
      <c r="P3">
        <f>O3+0.5*(0+M3)</f>
        <v>0.98231898010392182</v>
      </c>
      <c r="R3" s="2">
        <v>0</v>
      </c>
      <c r="S3" s="2">
        <f>P3</f>
        <v>0.98231898010392182</v>
      </c>
      <c r="T3" s="2">
        <f>M3</f>
        <v>0.20798796020780763</v>
      </c>
    </row>
    <row r="4" spans="1:20" x14ac:dyDescent="0.35">
      <c r="A4" t="s">
        <v>14</v>
      </c>
      <c r="B4">
        <v>-354.42685325999997</v>
      </c>
      <c r="C4">
        <v>0.48896805741986049</v>
      </c>
      <c r="D4">
        <v>5.5821963756467863</v>
      </c>
      <c r="E4">
        <v>9.1650564115612634E-2</v>
      </c>
      <c r="F4">
        <v>0</v>
      </c>
      <c r="G4">
        <v>0</v>
      </c>
      <c r="I4">
        <f>B4-E4-(F4+G4)*298.15/1000/23.06+C4+D4/96.48+H4</f>
        <v>-353.97167718071267</v>
      </c>
      <c r="L4" s="5" t="s">
        <v>88</v>
      </c>
      <c r="M4">
        <f>I7-I6-0.5*I5</f>
        <v>0.21906453568114692</v>
      </c>
      <c r="N4">
        <f>-M4</f>
        <v>-0.21906453568114692</v>
      </c>
      <c r="O4">
        <v>0.39580500000000002</v>
      </c>
      <c r="P4">
        <f>O4+0.5*(0+M4)</f>
        <v>0.50533726784057342</v>
      </c>
      <c r="R4" s="2">
        <v>0</v>
      </c>
      <c r="S4" s="2">
        <f>P4</f>
        <v>0.50533726784057342</v>
      </c>
      <c r="T4" s="2">
        <f>M4</f>
        <v>0.21906453568114692</v>
      </c>
    </row>
    <row r="5" spans="1:20" x14ac:dyDescent="0.35">
      <c r="A5" t="s">
        <v>89</v>
      </c>
      <c r="I5">
        <v>-6.8129752076530785</v>
      </c>
      <c r="R5" s="2"/>
      <c r="S5" s="2">
        <f>S3-S4</f>
        <v>0.4769817122633484</v>
      </c>
      <c r="T5" s="2">
        <f>T4-T3</f>
        <v>1.107657547333929E-2</v>
      </c>
    </row>
    <row r="6" spans="1:20" x14ac:dyDescent="0.35">
      <c r="A6" t="s">
        <v>90</v>
      </c>
      <c r="B6">
        <v>-365.60565865000001</v>
      </c>
      <c r="C6">
        <v>0.79427322388279831</v>
      </c>
      <c r="D6">
        <v>16.050867032820285</v>
      </c>
      <c r="E6">
        <v>0.34392343611516357</v>
      </c>
      <c r="F6">
        <v>0</v>
      </c>
      <c r="G6">
        <v>0</v>
      </c>
      <c r="I6">
        <f>B6-E6-(F6+G6)*298.15/1000/23.06+C6+D6/96.48+H6</f>
        <v>-364.98894415418079</v>
      </c>
      <c r="R6" s="2"/>
      <c r="S6" s="2"/>
      <c r="T6" s="2"/>
    </row>
    <row r="7" spans="1:20" x14ac:dyDescent="0.35">
      <c r="A7" t="s">
        <v>91</v>
      </c>
      <c r="B7">
        <v>-369.10874024999998</v>
      </c>
      <c r="C7">
        <v>1.0811977726190818</v>
      </c>
      <c r="D7">
        <v>14.908236412287092</v>
      </c>
      <c r="E7">
        <v>0.30334626663145414</v>
      </c>
      <c r="F7">
        <v>0</v>
      </c>
      <c r="G7">
        <v>0</v>
      </c>
      <c r="I7">
        <f>B7-E7-(F7+G7)*298.15/1000/23.06+C7+D7/96.48+H7</f>
        <v>-368.17636722232618</v>
      </c>
      <c r="R7" s="2"/>
      <c r="S7" s="2"/>
      <c r="T7" s="2"/>
    </row>
    <row r="8" spans="1:20" x14ac:dyDescent="0.35">
      <c r="R8" s="2"/>
      <c r="S8" s="2"/>
      <c r="T8" s="2"/>
    </row>
    <row r="9" spans="1:20" x14ac:dyDescent="0.35">
      <c r="R9" s="2"/>
      <c r="S9" s="2"/>
      <c r="T9" s="2"/>
    </row>
    <row r="10" spans="1:20" x14ac:dyDescent="0.35">
      <c r="R10" s="2"/>
      <c r="S10" s="2"/>
      <c r="T10" s="2"/>
    </row>
    <row r="11" spans="1:20" x14ac:dyDescent="0.35">
      <c r="A11" t="s">
        <v>9</v>
      </c>
      <c r="B11" t="s">
        <v>72</v>
      </c>
      <c r="M11" t="s">
        <v>81</v>
      </c>
      <c r="N11" t="s">
        <v>82</v>
      </c>
      <c r="O11" t="s">
        <v>83</v>
      </c>
      <c r="P11" t="s">
        <v>84</v>
      </c>
      <c r="R11" s="2" t="s">
        <v>85</v>
      </c>
      <c r="S11" s="2" t="s">
        <v>86</v>
      </c>
      <c r="T11" s="2" t="s">
        <v>87</v>
      </c>
    </row>
    <row r="12" spans="1:20" x14ac:dyDescent="0.35">
      <c r="A12" t="s">
        <v>12</v>
      </c>
      <c r="B12">
        <v>-255.37773824999999</v>
      </c>
      <c r="C12">
        <v>0.15505467749789623</v>
      </c>
      <c r="D12">
        <v>7.0099044848930632</v>
      </c>
      <c r="E12">
        <v>0.13399475203726385</v>
      </c>
      <c r="F12">
        <v>0</v>
      </c>
      <c r="G12">
        <v>0</v>
      </c>
      <c r="I12">
        <f>B12-E12-(F12+G12)*298.15/1000/23.06+C12+D12/96.48+H12</f>
        <v>-255.28402176893309</v>
      </c>
      <c r="L12" s="4" t="s">
        <v>42</v>
      </c>
      <c r="M12">
        <f>I13-I12-0.5*I5</f>
        <v>-0.34929012659498859</v>
      </c>
      <c r="N12">
        <f>-M12</f>
        <v>0.34929012659498859</v>
      </c>
      <c r="O12">
        <v>0.54320900000000005</v>
      </c>
      <c r="P12">
        <f>O12+0.5*(0+M12)</f>
        <v>0.36856393670250576</v>
      </c>
      <c r="R12" s="2">
        <v>0</v>
      </c>
      <c r="S12" s="2">
        <f>P12</f>
        <v>0.36856393670250576</v>
      </c>
      <c r="T12" s="2">
        <f>M12</f>
        <v>-0.34929012659498859</v>
      </c>
    </row>
    <row r="13" spans="1:20" x14ac:dyDescent="0.35">
      <c r="A13" t="s">
        <v>14</v>
      </c>
      <c r="B13">
        <v>-259.48336175999998</v>
      </c>
      <c r="C13">
        <v>0.47779048453565376</v>
      </c>
      <c r="D13">
        <v>5.7860608943110918</v>
      </c>
      <c r="E13">
        <v>9.419983349136922E-2</v>
      </c>
      <c r="F13">
        <v>0</v>
      </c>
      <c r="G13">
        <v>0</v>
      </c>
      <c r="I13">
        <f>B13-E13-(F13+G13)*298.15/1000/23.06+C13+D13/96.48+H13</f>
        <v>-259.03979949935461</v>
      </c>
      <c r="L13" s="5" t="s">
        <v>88</v>
      </c>
      <c r="M13">
        <f>I15-I14-0.5*I5</f>
        <v>-0.15107945414579582</v>
      </c>
      <c r="N13">
        <f>-M13</f>
        <v>0.15107945414579582</v>
      </c>
      <c r="O13">
        <v>0.72755099999999995</v>
      </c>
      <c r="P13">
        <f>O13+0.5*(0+M13)</f>
        <v>0.65201127292710204</v>
      </c>
      <c r="R13" s="2">
        <v>0</v>
      </c>
      <c r="S13" s="2">
        <f>P13</f>
        <v>0.65201127292710204</v>
      </c>
      <c r="T13" s="2">
        <f>M13</f>
        <v>-0.15107945414579582</v>
      </c>
    </row>
    <row r="14" spans="1:20" x14ac:dyDescent="0.35">
      <c r="A14" t="s">
        <v>90</v>
      </c>
      <c r="B14">
        <v>-270.15379099</v>
      </c>
      <c r="C14">
        <v>0.80591822499888088</v>
      </c>
      <c r="D14">
        <v>13.461621658289245</v>
      </c>
      <c r="E14">
        <v>0.26076266248937735</v>
      </c>
      <c r="F14">
        <v>0</v>
      </c>
      <c r="G14">
        <v>0</v>
      </c>
      <c r="I14">
        <f>B14-E14-(F14+G14)*298.15/1000/23.06+C14+D14/96.48+H14</f>
        <v>-269.46910783982162</v>
      </c>
      <c r="R14" s="2"/>
      <c r="S14" s="2">
        <f>S13-S12</f>
        <v>0.28344733622459628</v>
      </c>
      <c r="T14" s="2">
        <f>T13-T12</f>
        <v>0.19821067244919277</v>
      </c>
    </row>
    <row r="15" spans="1:20" x14ac:dyDescent="0.35">
      <c r="A15" t="s">
        <v>91</v>
      </c>
      <c r="B15">
        <v>-273.98511943</v>
      </c>
      <c r="C15">
        <v>1.0992660347758663</v>
      </c>
      <c r="D15">
        <v>15.196657366841677</v>
      </c>
      <c r="E15">
        <v>0.29833246201062008</v>
      </c>
      <c r="F15">
        <v>0</v>
      </c>
      <c r="G15">
        <v>0</v>
      </c>
      <c r="I15">
        <f>B15-E15-(F15+G15)*298.15/1000/23.06+C15+D15/96.48+H15</f>
        <v>-273.02667489779395</v>
      </c>
      <c r="R15" s="2"/>
      <c r="S15" s="2"/>
      <c r="T15" s="2"/>
    </row>
    <row r="16" spans="1:20" x14ac:dyDescent="0.35">
      <c r="R16" s="2"/>
      <c r="S16" s="2"/>
      <c r="T16" s="2"/>
    </row>
    <row r="17" spans="1:20" x14ac:dyDescent="0.35">
      <c r="R17" s="2"/>
      <c r="S17" s="2"/>
      <c r="T17" s="2"/>
    </row>
    <row r="18" spans="1:20" x14ac:dyDescent="0.35">
      <c r="A18" t="s">
        <v>63</v>
      </c>
      <c r="B18" t="s">
        <v>92</v>
      </c>
      <c r="R18" s="2"/>
      <c r="S18" s="2"/>
      <c r="T18" s="2"/>
    </row>
    <row r="19" spans="1:20" x14ac:dyDescent="0.35">
      <c r="A19" s="3"/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s="3"/>
      <c r="M19" t="s">
        <v>81</v>
      </c>
      <c r="N19" t="s">
        <v>82</v>
      </c>
      <c r="O19" t="s">
        <v>83</v>
      </c>
      <c r="P19" t="s">
        <v>84</v>
      </c>
      <c r="R19" s="2" t="s">
        <v>85</v>
      </c>
      <c r="S19" s="2" t="s">
        <v>86</v>
      </c>
      <c r="T19" s="2" t="s">
        <v>87</v>
      </c>
    </row>
    <row r="20" spans="1:20" x14ac:dyDescent="0.35">
      <c r="A20" t="s">
        <v>90</v>
      </c>
      <c r="B20">
        <v>-467.58089498999999</v>
      </c>
      <c r="C20">
        <v>0.80680665965617904</v>
      </c>
      <c r="D20">
        <v>15.820930544441083</v>
      </c>
      <c r="E20">
        <v>0.33332567435297444</v>
      </c>
      <c r="I20">
        <f>B20-E20-(F20+G20)*298.15/1000/23.06+C20+D20/96.48+H20</f>
        <v>-466.94343255212175</v>
      </c>
      <c r="L20" s="4" t="s">
        <v>93</v>
      </c>
      <c r="M20">
        <f>I21-I20-0.5*I5</f>
        <v>0.60285780254021937</v>
      </c>
      <c r="N20">
        <f>-M20</f>
        <v>-0.60285780254021937</v>
      </c>
      <c r="O20">
        <v>0.907721</v>
      </c>
      <c r="P20">
        <f>O20+0.5*(0+M20)</f>
        <v>1.2091499012701097</v>
      </c>
      <c r="R20" s="2">
        <v>0</v>
      </c>
      <c r="S20" s="2">
        <f>P20</f>
        <v>1.2091499012701097</v>
      </c>
      <c r="T20" s="2">
        <f>M20</f>
        <v>0.60285780254021937</v>
      </c>
    </row>
    <row r="21" spans="1:20" x14ac:dyDescent="0.35">
      <c r="A21" t="s">
        <v>94</v>
      </c>
      <c r="B21">
        <v>-470.71769301</v>
      </c>
      <c r="C21">
        <v>1.1232988091868885</v>
      </c>
      <c r="D21">
        <v>15.11691863176523</v>
      </c>
      <c r="E21">
        <v>0.3093526326091724</v>
      </c>
      <c r="I21">
        <f>B21-E21-(F21+G21)*298.15/1000/23.06+C21+D21/96.48+H21</f>
        <v>-469.74706235340807</v>
      </c>
      <c r="L21" s="5" t="s">
        <v>88</v>
      </c>
      <c r="M21">
        <f>I23-I22-0.5*I5</f>
        <v>0.12191380168117938</v>
      </c>
      <c r="N21">
        <f>-M21</f>
        <v>-0.12191380168117938</v>
      </c>
      <c r="O21">
        <v>0.53439899999999996</v>
      </c>
      <c r="P21">
        <f>O21+0.5*(0+M21)</f>
        <v>0.59535590084058965</v>
      </c>
      <c r="R21" s="2">
        <v>0</v>
      </c>
      <c r="S21" s="2">
        <f>P21</f>
        <v>0.59535590084058965</v>
      </c>
      <c r="T21" s="2">
        <f>M21</f>
        <v>0.12191380168117938</v>
      </c>
    </row>
    <row r="22" spans="1:20" x14ac:dyDescent="0.35">
      <c r="A22" t="s">
        <v>90</v>
      </c>
      <c r="B22">
        <v>-467.57991816999998</v>
      </c>
      <c r="C22">
        <v>0.79582578852510444</v>
      </c>
      <c r="D22">
        <v>14.137783630780085</v>
      </c>
      <c r="E22">
        <v>0.28962896029250484</v>
      </c>
      <c r="I22">
        <f>B22-E22-(F22+G22)*298.15/1000/23.06+C22+D22/96.48+H22</f>
        <v>-466.92718544178007</v>
      </c>
      <c r="R22" s="2"/>
      <c r="S22" s="2"/>
      <c r="T22" s="2"/>
    </row>
    <row r="23" spans="1:20" x14ac:dyDescent="0.35">
      <c r="A23" t="s">
        <v>91</v>
      </c>
      <c r="B23">
        <v>-471.20671522999999</v>
      </c>
      <c r="C23">
        <v>1.0925604080355349</v>
      </c>
      <c r="D23">
        <v>11.840823124725347</v>
      </c>
      <c r="E23">
        <v>0.22033268817910717</v>
      </c>
      <c r="I23">
        <f>B23-E23-(F23+G23)*298.15/1000/23.06+C23+D23/96.48+H23</f>
        <v>-470.21175924392543</v>
      </c>
      <c r="R23" s="2"/>
      <c r="S23" s="2"/>
      <c r="T23" s="2"/>
    </row>
    <row r="24" spans="1:20" x14ac:dyDescent="0.35">
      <c r="R24" s="2"/>
      <c r="S24" s="2"/>
      <c r="T24" s="2"/>
    </row>
    <row r="25" spans="1:20" x14ac:dyDescent="0.35">
      <c r="R25" s="2"/>
      <c r="S25" s="2"/>
      <c r="T25" s="2"/>
    </row>
    <row r="26" spans="1:20" x14ac:dyDescent="0.35">
      <c r="A26" t="s">
        <v>9</v>
      </c>
      <c r="B26" t="s">
        <v>92</v>
      </c>
      <c r="M26" t="s">
        <v>81</v>
      </c>
      <c r="N26" t="s">
        <v>82</v>
      </c>
      <c r="O26" t="s">
        <v>83</v>
      </c>
      <c r="P26" t="s">
        <v>84</v>
      </c>
      <c r="R26" s="2" t="s">
        <v>85</v>
      </c>
      <c r="S26" s="2" t="s">
        <v>86</v>
      </c>
      <c r="T26" s="2" t="s">
        <v>87</v>
      </c>
    </row>
    <row r="27" spans="1:20" x14ac:dyDescent="0.35">
      <c r="A27" t="s">
        <v>12</v>
      </c>
      <c r="B27">
        <v>-351.17128509000003</v>
      </c>
      <c r="C27">
        <v>0.18658353048594395</v>
      </c>
      <c r="D27">
        <v>6.1508539604760193</v>
      </c>
      <c r="E27">
        <v>0.11341218981942283</v>
      </c>
      <c r="I27">
        <f>B27-E27-(F27+G27)*298.15/1000/23.06+C27+D27/96.48+H27</f>
        <v>-351.03436111707316</v>
      </c>
      <c r="L27" s="4" t="s">
        <v>42</v>
      </c>
      <c r="M27">
        <f>I28-I27-0.5*I5</f>
        <v>-0.50434314951540138</v>
      </c>
      <c r="N27">
        <f>-M27</f>
        <v>0.50434314951540138</v>
      </c>
      <c r="O27">
        <v>0.62948000000000004</v>
      </c>
      <c r="P27">
        <f>O27+0.5*(0+M27)</f>
        <v>0.37730842524229935</v>
      </c>
      <c r="R27" s="2">
        <v>0</v>
      </c>
      <c r="S27" s="2">
        <f>P27</f>
        <v>0.37730842524229935</v>
      </c>
      <c r="T27" s="2">
        <f>M27</f>
        <v>-0.50434314951540138</v>
      </c>
    </row>
    <row r="28" spans="1:20" x14ac:dyDescent="0.35">
      <c r="A28" t="s">
        <v>14</v>
      </c>
      <c r="B28">
        <v>-355.38834345999999</v>
      </c>
      <c r="C28">
        <v>0.47778093323167559</v>
      </c>
      <c r="D28">
        <v>5.8247953259910732</v>
      </c>
      <c r="E28">
        <v>9.5002429529735463E-2</v>
      </c>
      <c r="I28">
        <f>B28-E28-(F28+G28)*298.15/1000/23.06+C28+D28/96.48+H28</f>
        <v>-354.9451918704151</v>
      </c>
      <c r="L28" s="5" t="s">
        <v>88</v>
      </c>
      <c r="M28">
        <f>I30-I29-0.5*I5</f>
        <v>-0.29437520375504711</v>
      </c>
      <c r="N28">
        <f>-M28</f>
        <v>0.29437520375504711</v>
      </c>
      <c r="O28">
        <v>0.69598000000000004</v>
      </c>
      <c r="P28">
        <f>O28+0.5*(0+M28)</f>
        <v>0.54879239812247649</v>
      </c>
      <c r="R28" s="2">
        <v>0</v>
      </c>
      <c r="S28" s="2">
        <f>P28</f>
        <v>0.54879239812247649</v>
      </c>
      <c r="T28" s="2">
        <f>M28</f>
        <v>-0.29437520375504711</v>
      </c>
    </row>
    <row r="29" spans="1:20" x14ac:dyDescent="0.35">
      <c r="A29" t="s">
        <v>90</v>
      </c>
      <c r="B29">
        <v>-365.92638656000003</v>
      </c>
      <c r="C29">
        <v>0.81946584238496423</v>
      </c>
      <c r="D29">
        <v>14.830104202071755</v>
      </c>
      <c r="E29">
        <v>0.30262748568647846</v>
      </c>
      <c r="I29">
        <f>B29-E29-(F29+G29)*298.15/1000/23.06+C29+D29/96.48+H29</f>
        <v>-365.25583650966479</v>
      </c>
    </row>
    <row r="30" spans="1:20" x14ac:dyDescent="0.35">
      <c r="A30" t="s">
        <v>91</v>
      </c>
      <c r="B30">
        <v>-369.94941412999998</v>
      </c>
      <c r="C30">
        <v>1.1236441412589344</v>
      </c>
      <c r="D30">
        <v>14.076845692381932</v>
      </c>
      <c r="E30">
        <v>0.27683361636166398</v>
      </c>
      <c r="I30">
        <f>B30-E30-(F30+G30)*298.15/1000/23.06+C30+D30/96.48+H30</f>
        <v>-368.95669931724638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E94C-649E-4B9B-940A-30B5717143A3}">
  <dimension ref="A2:X64"/>
  <sheetViews>
    <sheetView topLeftCell="A54" zoomScale="64" zoomScaleNormal="86" workbookViewId="0">
      <selection activeCell="W11" sqref="W11"/>
    </sheetView>
  </sheetViews>
  <sheetFormatPr defaultRowHeight="14.5" x14ac:dyDescent="0.35"/>
  <cols>
    <col min="1" max="1" width="35.36328125" customWidth="1"/>
    <col min="4" max="4" width="38.1796875" customWidth="1"/>
    <col min="12" max="12" width="27.7265625" customWidth="1"/>
  </cols>
  <sheetData>
    <row r="2" spans="1:24" x14ac:dyDescent="0.35">
      <c r="A2" t="s">
        <v>0</v>
      </c>
      <c r="B2">
        <v>-6.7513797499999999</v>
      </c>
      <c r="D2">
        <v>1.3221999999999999E-2</v>
      </c>
      <c r="E2">
        <v>32.591000000000001</v>
      </c>
      <c r="F2">
        <f t="shared" ref="F2:F7" si="0">-298.15*E2/(1000*23.06*27.211)</f>
        <v>-1.5485623448350996E-2</v>
      </c>
      <c r="G2">
        <f>(D2+F2)*27.211+B2</f>
        <v>-6.8129752076530785</v>
      </c>
      <c r="H2" t="s">
        <v>1</v>
      </c>
      <c r="L2" t="s">
        <v>0</v>
      </c>
      <c r="M2">
        <v>-6.7513797499999999</v>
      </c>
      <c r="O2">
        <v>1.3221999999999999E-2</v>
      </c>
      <c r="P2">
        <v>32.591000000000001</v>
      </c>
      <c r="Q2">
        <f t="shared" ref="Q2:Q7" si="1">-298.15*P2/(1000*23.06*27.211)</f>
        <v>-1.5485623448350996E-2</v>
      </c>
      <c r="R2">
        <f>(O2+Q2)*27.211+M2</f>
        <v>-6.8129752076530785</v>
      </c>
      <c r="S2" t="s">
        <v>1</v>
      </c>
    </row>
    <row r="3" spans="1:24" x14ac:dyDescent="0.35">
      <c r="A3" t="s">
        <v>2</v>
      </c>
      <c r="B3">
        <v>-12.27786371</v>
      </c>
      <c r="D3">
        <v>7.7780000000000002E-3</v>
      </c>
      <c r="E3">
        <v>47.643999999999998</v>
      </c>
      <c r="F3">
        <f t="shared" si="0"/>
        <v>-2.2638060923973944E-2</v>
      </c>
      <c r="G3">
        <f>(D3+F3)*27.211+B3+H3</f>
        <v>-12.818855473964826</v>
      </c>
      <c r="H3">
        <v>-0.13663464616257209</v>
      </c>
      <c r="I3" t="s">
        <v>3</v>
      </c>
      <c r="L3" t="s">
        <v>2</v>
      </c>
      <c r="M3">
        <v>-12.27786371</v>
      </c>
      <c r="O3">
        <v>7.7780000000000002E-3</v>
      </c>
      <c r="P3">
        <v>47.643999999999998</v>
      </c>
      <c r="Q3">
        <f t="shared" si="1"/>
        <v>-2.2638060923973944E-2</v>
      </c>
      <c r="R3">
        <f>(O3+Q3)*27.211+M3+S3</f>
        <v>-12.818855473964826</v>
      </c>
      <c r="S3">
        <v>-0.13663464616257209</v>
      </c>
      <c r="T3" t="s">
        <v>3</v>
      </c>
    </row>
    <row r="4" spans="1:24" x14ac:dyDescent="0.35">
      <c r="A4" t="s">
        <v>4</v>
      </c>
      <c r="B4">
        <v>-14.211913689999999</v>
      </c>
      <c r="D4">
        <v>2.4642000000000001E-2</v>
      </c>
      <c r="E4">
        <v>46.493000000000002</v>
      </c>
      <c r="F4">
        <f t="shared" si="0"/>
        <v>-2.2091162927930501E-2</v>
      </c>
      <c r="G4">
        <f>(D4+F4)*27.211+B4+H4</f>
        <v>-13.957261441848422</v>
      </c>
      <c r="H4" s="1">
        <v>0.18524142058349399</v>
      </c>
      <c r="I4" t="s">
        <v>5</v>
      </c>
      <c r="L4" t="s">
        <v>4</v>
      </c>
      <c r="M4">
        <v>-14.211913689999999</v>
      </c>
      <c r="O4">
        <v>2.4642000000000001E-2</v>
      </c>
      <c r="P4">
        <v>46.493000000000002</v>
      </c>
      <c r="Q4">
        <f t="shared" si="1"/>
        <v>-2.2091162927930501E-2</v>
      </c>
      <c r="R4">
        <f>(O4+Q4)*27.211+M4+S4</f>
        <v>-13.957261441848422</v>
      </c>
      <c r="S4" s="1">
        <v>0.18524142058349399</v>
      </c>
      <c r="T4" t="s">
        <v>5</v>
      </c>
    </row>
    <row r="5" spans="1:24" x14ac:dyDescent="0.35">
      <c r="A5" t="s">
        <v>6</v>
      </c>
      <c r="B5">
        <v>-21.375413049999999</v>
      </c>
      <c r="D5">
        <v>1.3553000000000001E-2</v>
      </c>
      <c r="E5">
        <v>43.02</v>
      </c>
      <c r="F5">
        <f t="shared" si="0"/>
        <v>-2.044096593378724E-2</v>
      </c>
      <c r="G5">
        <f>(D5+F5)*27.211+B5</f>
        <v>-21.562841491024283</v>
      </c>
      <c r="H5" t="s">
        <v>1</v>
      </c>
      <c r="L5" t="s">
        <v>6</v>
      </c>
      <c r="M5">
        <v>-21.375413049999999</v>
      </c>
      <c r="O5">
        <v>1.3553000000000001E-2</v>
      </c>
      <c r="P5">
        <v>43.02</v>
      </c>
      <c r="Q5">
        <f t="shared" si="1"/>
        <v>-2.044096593378724E-2</v>
      </c>
      <c r="R5">
        <f>(O5+Q5)*27.211+M5</f>
        <v>-21.562841491024283</v>
      </c>
      <c r="S5" t="s">
        <v>1</v>
      </c>
    </row>
    <row r="6" spans="1:24" x14ac:dyDescent="0.35">
      <c r="A6" t="s">
        <v>7</v>
      </c>
      <c r="B6">
        <v>-16.59684824</v>
      </c>
      <c r="D6">
        <v>8.8699999999999994E-3</v>
      </c>
      <c r="E6">
        <v>47.137</v>
      </c>
      <c r="F6">
        <f t="shared" si="0"/>
        <v>-2.2397159721546468E-2</v>
      </c>
      <c r="G6">
        <f>(D6+F6)*27.211+B6</f>
        <v>-16.964935783183002</v>
      </c>
      <c r="H6" t="s">
        <v>1</v>
      </c>
      <c r="L6" t="s">
        <v>7</v>
      </c>
      <c r="M6">
        <v>-16.59684824</v>
      </c>
      <c r="O6">
        <v>8.8699999999999994E-3</v>
      </c>
      <c r="P6">
        <v>47.137</v>
      </c>
      <c r="Q6">
        <f t="shared" si="1"/>
        <v>-2.2397159721546468E-2</v>
      </c>
      <c r="R6">
        <f>(O6+Q6)*27.211+M6</f>
        <v>-16.964935783183002</v>
      </c>
      <c r="S6" t="s">
        <v>1</v>
      </c>
    </row>
    <row r="7" spans="1:24" x14ac:dyDescent="0.35">
      <c r="A7" t="s">
        <v>8</v>
      </c>
      <c r="B7">
        <v>-19.510745329999999</v>
      </c>
      <c r="D7">
        <v>3.7539000000000003E-2</v>
      </c>
      <c r="E7">
        <v>48.167999999999999</v>
      </c>
      <c r="F7">
        <f t="shared" si="0"/>
        <v>-2.2887039681512403E-2</v>
      </c>
      <c r="G7">
        <f>(D7+F7)*27.211+B7</f>
        <v>-19.112050837773634</v>
      </c>
      <c r="H7" t="s">
        <v>1</v>
      </c>
      <c r="L7" t="s">
        <v>8</v>
      </c>
      <c r="M7">
        <v>-19.510745329999999</v>
      </c>
      <c r="O7">
        <v>3.7539000000000003E-2</v>
      </c>
      <c r="P7">
        <v>48.167999999999999</v>
      </c>
      <c r="Q7">
        <f t="shared" si="1"/>
        <v>-2.2887039681512403E-2</v>
      </c>
      <c r="R7">
        <f>(O7+Q7)*27.211+M7</f>
        <v>-19.112050837773634</v>
      </c>
      <c r="S7" t="s">
        <v>1</v>
      </c>
    </row>
    <row r="8" spans="1:24" x14ac:dyDescent="0.35">
      <c r="A8" t="s">
        <v>63</v>
      </c>
      <c r="L8" t="s">
        <v>63</v>
      </c>
    </row>
    <row r="9" spans="1:24" x14ac:dyDescent="0.35">
      <c r="A9" t="s">
        <v>10</v>
      </c>
      <c r="J9">
        <v>-336.24171539000002</v>
      </c>
      <c r="L9" t="s">
        <v>64</v>
      </c>
      <c r="M9">
        <v>-438.24555465999998</v>
      </c>
      <c r="U9">
        <f t="shared" ref="U9:U21" si="2">M9-Q9-(R9+S9)*298.15/1000/23.06+O9+P9/96.48+T9</f>
        <v>-438.24555465999998</v>
      </c>
    </row>
    <row r="10" spans="1:24" x14ac:dyDescent="0.35">
      <c r="A10" t="s">
        <v>12</v>
      </c>
      <c r="B10">
        <v>-350.86498963999998</v>
      </c>
      <c r="D10">
        <v>0.16177577947933769</v>
      </c>
      <c r="E10">
        <v>7.1028782684009606</v>
      </c>
      <c r="F10">
        <v>0.14358389079800779</v>
      </c>
      <c r="G10">
        <v>0</v>
      </c>
      <c r="H10">
        <v>0</v>
      </c>
      <c r="J10">
        <f t="shared" ref="J10:J23" si="3">B10-F10-(G10+H10)*298.15/1000/23.06+D10+E10/96.48+I10</f>
        <v>-350.77317753709394</v>
      </c>
      <c r="L10" t="s">
        <v>13</v>
      </c>
      <c r="M10">
        <v>-452.93183112999998</v>
      </c>
      <c r="O10">
        <v>0.16177577947933769</v>
      </c>
      <c r="P10">
        <v>7.1028782684009606</v>
      </c>
      <c r="Q10">
        <v>0.14358389079800779</v>
      </c>
      <c r="R10">
        <v>0</v>
      </c>
      <c r="S10">
        <v>0</v>
      </c>
      <c r="U10">
        <f t="shared" si="2"/>
        <v>-452.84001902709394</v>
      </c>
      <c r="W10">
        <f>U10-J9-8*R3</f>
        <v>-14.047459845375315</v>
      </c>
      <c r="X10">
        <f>U10-U9-R3</f>
        <v>-1.7756088931291369</v>
      </c>
    </row>
    <row r="11" spans="1:24" x14ac:dyDescent="0.35">
      <c r="A11" t="s">
        <v>14</v>
      </c>
      <c r="B11">
        <v>-354.42685325999997</v>
      </c>
      <c r="D11">
        <v>0.48896805741986049</v>
      </c>
      <c r="E11">
        <v>5.5821963756467863</v>
      </c>
      <c r="F11">
        <v>9.1650564115612634E-2</v>
      </c>
      <c r="J11">
        <f t="shared" si="3"/>
        <v>-353.97167718071267</v>
      </c>
      <c r="L11" t="s">
        <v>15</v>
      </c>
      <c r="M11">
        <v>-456.23762469000002</v>
      </c>
      <c r="O11">
        <v>0.48738959695849277</v>
      </c>
      <c r="P11">
        <v>5.9490801861777154</v>
      </c>
      <c r="Q11">
        <v>0.10247945924253941</v>
      </c>
      <c r="U11">
        <f t="shared" si="2"/>
        <v>-455.79105327340574</v>
      </c>
      <c r="W11">
        <f>W10/8</f>
        <v>-1.7559324806719143</v>
      </c>
    </row>
    <row r="12" spans="1:24" x14ac:dyDescent="0.35">
      <c r="A12" t="s">
        <v>16</v>
      </c>
      <c r="B12">
        <v>-354.10095225999999</v>
      </c>
      <c r="D12">
        <v>0.43766428965307852</v>
      </c>
      <c r="E12">
        <v>8.6126391681439767</v>
      </c>
      <c r="F12">
        <v>0.17252444582459137</v>
      </c>
      <c r="J12">
        <f t="shared" si="3"/>
        <v>-353.74654376807712</v>
      </c>
      <c r="L12" t="s">
        <v>17</v>
      </c>
      <c r="M12">
        <v>-456.08871575000001</v>
      </c>
      <c r="O12">
        <v>0.4693983903068889</v>
      </c>
      <c r="P12">
        <v>6.4259617255720327</v>
      </c>
      <c r="Q12">
        <v>0.11560681598560645</v>
      </c>
      <c r="U12">
        <f t="shared" si="2"/>
        <v>-455.6683200947752</v>
      </c>
    </row>
    <row r="13" spans="1:24" x14ac:dyDescent="0.35">
      <c r="A13" t="s">
        <v>65</v>
      </c>
      <c r="B13">
        <v>-369.10874024999998</v>
      </c>
      <c r="D13">
        <v>1.0811977726190818</v>
      </c>
      <c r="E13">
        <v>14.908236412287092</v>
      </c>
      <c r="F13">
        <v>0.30334626663145414</v>
      </c>
      <c r="G13">
        <v>0</v>
      </c>
      <c r="H13">
        <v>0</v>
      </c>
      <c r="J13">
        <f>B13-F13-(G13+H13)*298.15/1000/23.06+D13+E13/96.48+I13</f>
        <v>-368.17636722232618</v>
      </c>
      <c r="L13" t="s">
        <v>66</v>
      </c>
      <c r="M13">
        <v>-471.20671522999999</v>
      </c>
      <c r="O13">
        <v>1.0925604080355349</v>
      </c>
      <c r="P13">
        <v>11.840823124725347</v>
      </c>
      <c r="Q13">
        <v>0.22033268817910717</v>
      </c>
      <c r="U13">
        <f>M13-Q13-(R13+S13)*298.15/1000/23.06+O13+P13/96.48+T13</f>
        <v>-470.21175924392543</v>
      </c>
    </row>
    <row r="14" spans="1:24" x14ac:dyDescent="0.35">
      <c r="A14" t="s">
        <v>20</v>
      </c>
      <c r="B14">
        <v>-358.08966832999999</v>
      </c>
      <c r="D14">
        <v>0.78706256777597472</v>
      </c>
      <c r="E14">
        <v>7.6651047055182229</v>
      </c>
      <c r="F14">
        <v>0.14418894992892706</v>
      </c>
      <c r="G14">
        <v>0</v>
      </c>
      <c r="H14">
        <v>0</v>
      </c>
      <c r="J14">
        <f t="shared" si="3"/>
        <v>-357.36734710948383</v>
      </c>
      <c r="L14" t="s">
        <v>21</v>
      </c>
      <c r="M14">
        <v>-459.64984025000001</v>
      </c>
      <c r="O14">
        <v>0.78294728159218419</v>
      </c>
      <c r="P14">
        <v>8.4504350633690297</v>
      </c>
      <c r="Q14">
        <v>0.1622431181128518</v>
      </c>
      <c r="U14">
        <f t="shared" si="2"/>
        <v>-458.94154865841779</v>
      </c>
    </row>
    <row r="15" spans="1:24" x14ac:dyDescent="0.35">
      <c r="A15" t="s">
        <v>22</v>
      </c>
      <c r="B15">
        <v>-344.34835122999999</v>
      </c>
      <c r="D15">
        <v>6.7550811267039851E-2</v>
      </c>
      <c r="E15">
        <v>2.7687686637273399</v>
      </c>
      <c r="F15">
        <v>4.4264282278655531E-2</v>
      </c>
      <c r="J15">
        <f t="shared" si="3"/>
        <v>-344.29636685001941</v>
      </c>
      <c r="L15" t="s">
        <v>23</v>
      </c>
      <c r="M15">
        <v>-446.15111657</v>
      </c>
      <c r="O15">
        <v>8.608887545815197E-2</v>
      </c>
      <c r="P15">
        <v>2.0455786096380923</v>
      </c>
      <c r="Q15">
        <v>3.0631884059879513E-2</v>
      </c>
      <c r="U15">
        <f t="shared" si="2"/>
        <v>-446.07445747858475</v>
      </c>
    </row>
    <row r="16" spans="1:24" x14ac:dyDescent="0.35">
      <c r="A16" t="s">
        <v>24</v>
      </c>
      <c r="B16">
        <v>-348.56687853</v>
      </c>
      <c r="D16">
        <v>0.3732978154887312</v>
      </c>
      <c r="E16">
        <v>3.2026781027398128</v>
      </c>
      <c r="F16">
        <v>4.9707210221922558E-2</v>
      </c>
      <c r="J16">
        <f t="shared" si="3"/>
        <v>-348.21009267076613</v>
      </c>
      <c r="L16" t="s">
        <v>25</v>
      </c>
      <c r="M16">
        <v>-450.38576412999998</v>
      </c>
      <c r="O16">
        <v>0.36895685294260322</v>
      </c>
      <c r="P16">
        <v>3.5399712906111676</v>
      </c>
      <c r="Q16">
        <v>6.0130943860999889E-2</v>
      </c>
      <c r="U16">
        <f t="shared" si="2"/>
        <v>-450.04024697619809</v>
      </c>
    </row>
    <row r="17" spans="1:21" x14ac:dyDescent="0.35">
      <c r="A17" t="s">
        <v>26</v>
      </c>
      <c r="B17">
        <v>-352.66621829000002</v>
      </c>
      <c r="D17">
        <v>0.70222746873644726</v>
      </c>
      <c r="E17">
        <v>4.2971242017144125</v>
      </c>
      <c r="F17">
        <v>7.3415824232588217E-2</v>
      </c>
      <c r="J17">
        <f t="shared" si="3"/>
        <v>-351.99286763013845</v>
      </c>
      <c r="L17" t="s">
        <v>27</v>
      </c>
      <c r="M17">
        <v>-454.43643616999998</v>
      </c>
      <c r="O17">
        <v>0.70417494747727882</v>
      </c>
      <c r="P17">
        <v>4.1745828526590909</v>
      </c>
      <c r="Q17">
        <v>6.9335691103524624E-2</v>
      </c>
      <c r="U17">
        <f t="shared" si="2"/>
        <v>-453.75832802004561</v>
      </c>
    </row>
    <row r="18" spans="1:21" x14ac:dyDescent="0.35">
      <c r="A18" t="s">
        <v>28</v>
      </c>
      <c r="B18">
        <v>-356.79686665999998</v>
      </c>
      <c r="D18">
        <v>1.01570849049579</v>
      </c>
      <c r="E18">
        <v>7.886347427502348</v>
      </c>
      <c r="F18">
        <v>0.16709063839545096</v>
      </c>
      <c r="G18">
        <v>0</v>
      </c>
      <c r="H18">
        <v>0</v>
      </c>
      <c r="J18">
        <f t="shared" si="3"/>
        <v>-355.86650805927297</v>
      </c>
      <c r="L18" t="s">
        <v>67</v>
      </c>
      <c r="M18">
        <v>-458.69946654</v>
      </c>
      <c r="O18">
        <v>1.0179642794038213</v>
      </c>
      <c r="P18">
        <v>7.6235025328502974</v>
      </c>
      <c r="Q18">
        <v>0.15606921546359162</v>
      </c>
      <c r="U18">
        <f t="shared" si="2"/>
        <v>-457.75855507335615</v>
      </c>
    </row>
    <row r="19" spans="1:21" x14ac:dyDescent="0.35">
      <c r="A19" t="s">
        <v>30</v>
      </c>
      <c r="B19">
        <v>-358.98904171999999</v>
      </c>
      <c r="D19">
        <v>0.2494748796306189</v>
      </c>
      <c r="E19">
        <v>9.5668479531823216</v>
      </c>
      <c r="F19">
        <v>0.18746031583587541</v>
      </c>
      <c r="J19">
        <f t="shared" si="3"/>
        <v>-358.82786828438537</v>
      </c>
      <c r="L19" t="s">
        <v>31</v>
      </c>
      <c r="M19">
        <v>-460.05462709</v>
      </c>
      <c r="O19">
        <v>0.25616656449119724</v>
      </c>
      <c r="P19">
        <v>9.1682702457919589</v>
      </c>
      <c r="Q19">
        <v>0.16937060614297325</v>
      </c>
      <c r="U19">
        <f t="shared" si="2"/>
        <v>-459.87280345497487</v>
      </c>
    </row>
    <row r="20" spans="1:21" x14ac:dyDescent="0.35">
      <c r="A20" t="s">
        <v>32</v>
      </c>
      <c r="B20">
        <v>-358.12377591000001</v>
      </c>
      <c r="D20">
        <v>0.28033154177153602</v>
      </c>
      <c r="E20">
        <v>7.5638019403837395</v>
      </c>
      <c r="F20">
        <v>0.13052835408707697</v>
      </c>
      <c r="G20">
        <v>0</v>
      </c>
      <c r="H20">
        <v>0</v>
      </c>
      <c r="J20">
        <f t="shared" si="3"/>
        <v>-357.89557510684722</v>
      </c>
      <c r="L20" t="s">
        <v>68</v>
      </c>
      <c r="M20">
        <v>-459.69605504999998</v>
      </c>
      <c r="O20">
        <v>0.27743438359997935</v>
      </c>
      <c r="P20">
        <v>7.9328473990046318</v>
      </c>
      <c r="Q20">
        <v>0.13872319921527465</v>
      </c>
      <c r="U20">
        <f t="shared" si="2"/>
        <v>-459.47512115210986</v>
      </c>
    </row>
    <row r="21" spans="1:21" x14ac:dyDescent="0.35">
      <c r="A21" t="s">
        <v>34</v>
      </c>
      <c r="B21">
        <v>-353.45333118000002</v>
      </c>
      <c r="D21">
        <v>0.19319868099556328</v>
      </c>
      <c r="E21">
        <v>5.4562908179648337</v>
      </c>
      <c r="F21">
        <v>9.1114706349408742E-2</v>
      </c>
      <c r="G21">
        <v>0</v>
      </c>
      <c r="H21">
        <v>0</v>
      </c>
      <c r="J21">
        <f t="shared" si="3"/>
        <v>-353.29469361064025</v>
      </c>
      <c r="L21" t="s">
        <v>69</v>
      </c>
      <c r="M21">
        <v>-455.27076849999997</v>
      </c>
      <c r="O21">
        <v>0.18514013346412858</v>
      </c>
      <c r="P21">
        <v>7.3735015947492109</v>
      </c>
      <c r="Q21">
        <v>0.1453369204489722</v>
      </c>
      <c r="R21">
        <v>0</v>
      </c>
      <c r="S21">
        <v>0</v>
      </c>
      <c r="U21">
        <f t="shared" si="2"/>
        <v>-455.15454010461804</v>
      </c>
    </row>
    <row r="22" spans="1:21" x14ac:dyDescent="0.35">
      <c r="A22" t="s">
        <v>36</v>
      </c>
      <c r="B22">
        <v>-346.74986250000001</v>
      </c>
      <c r="D22">
        <v>0.33612935921639353</v>
      </c>
      <c r="E22">
        <v>5.6140549751301894</v>
      </c>
      <c r="F22">
        <v>0.11215658474972345</v>
      </c>
      <c r="G22">
        <v>0</v>
      </c>
      <c r="H22">
        <v>0</v>
      </c>
      <c r="J22">
        <f t="shared" si="3"/>
        <v>-346.4677009301858</v>
      </c>
      <c r="L22" t="s">
        <v>37</v>
      </c>
      <c r="M22">
        <v>-448.70223140000002</v>
      </c>
      <c r="O22">
        <v>0.34112504454780973</v>
      </c>
      <c r="P22">
        <v>5.1449802128092434</v>
      </c>
      <c r="Q22">
        <v>9.3634156825549167E-2</v>
      </c>
      <c r="R22">
        <v>0</v>
      </c>
      <c r="S22">
        <v>0</v>
      </c>
      <c r="U22">
        <f>M22-Q22-(R22+S22)*298.15/1000/23.06+O22+P22/96.48+T22</f>
        <v>-448.40141360294098</v>
      </c>
    </row>
    <row r="23" spans="1:21" x14ac:dyDescent="0.35">
      <c r="A23" t="s">
        <v>38</v>
      </c>
      <c r="B23">
        <v>-350.94517959000001</v>
      </c>
      <c r="D23">
        <v>0.62949990792157406</v>
      </c>
      <c r="E23">
        <v>9.0345836342517369</v>
      </c>
      <c r="F23">
        <v>0.20152135393184453</v>
      </c>
      <c r="G23">
        <v>0</v>
      </c>
      <c r="H23">
        <v>0</v>
      </c>
      <c r="J23">
        <f t="shared" si="3"/>
        <v>-350.42355900000024</v>
      </c>
      <c r="L23" t="s">
        <v>38</v>
      </c>
      <c r="M23">
        <v>-453.07062003999999</v>
      </c>
      <c r="O23">
        <v>0.65527579802305114</v>
      </c>
      <c r="P23">
        <v>7.4695578805882645</v>
      </c>
      <c r="Q23">
        <v>0.14933520392039382</v>
      </c>
      <c r="U23">
        <f t="shared" ref="U23" si="4">M23-Q23-(R23+S23)*298.15/1000/23.06+O23+P23/96.48+T23</f>
        <v>-452.48725865526103</v>
      </c>
    </row>
    <row r="25" spans="1:21" x14ac:dyDescent="0.35">
      <c r="A25" t="s">
        <v>39</v>
      </c>
      <c r="B25" t="s">
        <v>40</v>
      </c>
      <c r="C25" t="s">
        <v>41</v>
      </c>
      <c r="E25">
        <v>1</v>
      </c>
      <c r="F25" s="2">
        <v>0</v>
      </c>
      <c r="L25" t="s">
        <v>39</v>
      </c>
      <c r="M25" t="s">
        <v>40</v>
      </c>
      <c r="N25" t="s">
        <v>41</v>
      </c>
      <c r="P25">
        <v>1</v>
      </c>
      <c r="Q25" s="2">
        <v>0</v>
      </c>
    </row>
    <row r="26" spans="1:21" x14ac:dyDescent="0.35">
      <c r="A26" t="s">
        <v>42</v>
      </c>
      <c r="B26">
        <f>J11-J10-0.5*G2</f>
        <v>0.20798796020780763</v>
      </c>
      <c r="C26">
        <v>0.69</v>
      </c>
      <c r="D26" t="s">
        <v>43</v>
      </c>
      <c r="E26">
        <v>3</v>
      </c>
      <c r="F26" s="2">
        <f t="shared" ref="F26:F33" si="5">F25+B26</f>
        <v>0.20798796020780763</v>
      </c>
      <c r="G26">
        <v>2</v>
      </c>
      <c r="H26">
        <f>F25+C26</f>
        <v>0.69</v>
      </c>
      <c r="L26" t="s">
        <v>42</v>
      </c>
      <c r="M26">
        <f>U11-U10-0.5*R2</f>
        <v>0.45545335751474703</v>
      </c>
      <c r="N26">
        <v>0.78</v>
      </c>
      <c r="O26" t="s">
        <v>43</v>
      </c>
      <c r="P26">
        <v>3</v>
      </c>
      <c r="Q26" s="2">
        <f t="shared" ref="Q26:Q33" si="6">Q25+M26</f>
        <v>0.45545335751474703</v>
      </c>
      <c r="R26">
        <v>2</v>
      </c>
      <c r="S26">
        <f>Q25+N26</f>
        <v>0.78</v>
      </c>
    </row>
    <row r="27" spans="1:21" x14ac:dyDescent="0.35">
      <c r="A27" t="s">
        <v>44</v>
      </c>
      <c r="B27">
        <f>J14-J11-0.5*G2</f>
        <v>1.0817675055383447E-2</v>
      </c>
      <c r="C27">
        <v>0.61</v>
      </c>
      <c r="D27">
        <f>G4+J9+G7-5/2*G2-J10</f>
        <v>-1.5054121133953799</v>
      </c>
      <c r="E27">
        <v>5</v>
      </c>
      <c r="F27" s="2">
        <f t="shared" si="5"/>
        <v>0.21880563526319108</v>
      </c>
      <c r="G27">
        <v>4</v>
      </c>
      <c r="H27">
        <f t="shared" ref="H27:H33" si="7">F26+C27</f>
        <v>0.81798796020780762</v>
      </c>
      <c r="L27" t="s">
        <v>44</v>
      </c>
      <c r="M27">
        <f>U14-U11-0.5*R2</f>
        <v>0.25599221881448919</v>
      </c>
      <c r="N27">
        <v>0.31</v>
      </c>
      <c r="O27">
        <f>R4+U9+R7-5/2*R2-U10</f>
        <v>-1.442409893395336</v>
      </c>
      <c r="P27">
        <v>5</v>
      </c>
      <c r="Q27" s="2">
        <f t="shared" si="6"/>
        <v>0.71144557632923622</v>
      </c>
      <c r="R27">
        <v>4</v>
      </c>
      <c r="S27">
        <f t="shared" ref="S27:S33" si="8">Q26+N27</f>
        <v>0.76545335751474708</v>
      </c>
    </row>
    <row r="28" spans="1:21" x14ac:dyDescent="0.35">
      <c r="A28" s="3" t="s">
        <v>45</v>
      </c>
      <c r="B28">
        <f>J22+J16-J9-J14</f>
        <v>-1.0687311014680176</v>
      </c>
      <c r="C28">
        <v>0.27</v>
      </c>
      <c r="E28">
        <v>7</v>
      </c>
      <c r="F28" s="2">
        <f t="shared" si="5"/>
        <v>-0.84992546620482656</v>
      </c>
      <c r="G28">
        <v>6</v>
      </c>
      <c r="H28">
        <f t="shared" si="7"/>
        <v>0.4888056352631911</v>
      </c>
      <c r="L28" s="3" t="s">
        <v>45</v>
      </c>
      <c r="M28">
        <f>U22+U16-U9-U14</f>
        <v>-1.2545572607213558</v>
      </c>
      <c r="N28">
        <v>0.9</v>
      </c>
      <c r="P28">
        <v>7</v>
      </c>
      <c r="Q28" s="2">
        <f t="shared" si="6"/>
        <v>-0.54311168439211954</v>
      </c>
      <c r="R28">
        <v>6</v>
      </c>
      <c r="S28">
        <f t="shared" si="8"/>
        <v>1.6114455763292361</v>
      </c>
    </row>
    <row r="29" spans="1:21" x14ac:dyDescent="0.35">
      <c r="A29" t="s">
        <v>46</v>
      </c>
      <c r="B29">
        <f>J23-J22-0.5*G2</f>
        <v>-0.5493704659879004</v>
      </c>
      <c r="C29">
        <v>0.7</v>
      </c>
      <c r="E29">
        <v>9</v>
      </c>
      <c r="F29" s="2">
        <f t="shared" si="5"/>
        <v>-1.399295932192727</v>
      </c>
      <c r="G29">
        <v>8</v>
      </c>
      <c r="H29">
        <f t="shared" si="7"/>
        <v>-0.14992546620482661</v>
      </c>
      <c r="L29" t="s">
        <v>46</v>
      </c>
      <c r="M29">
        <f>U23-U22-0.5*R2</f>
        <v>-0.67935744849351387</v>
      </c>
      <c r="N29">
        <v>0.7</v>
      </c>
      <c r="P29">
        <v>9</v>
      </c>
      <c r="Q29" s="2">
        <f t="shared" si="6"/>
        <v>-1.2224691328856334</v>
      </c>
      <c r="R29">
        <v>8</v>
      </c>
      <c r="S29">
        <f t="shared" si="8"/>
        <v>0.15688831560788041</v>
      </c>
    </row>
    <row r="30" spans="1:21" x14ac:dyDescent="0.35">
      <c r="A30" t="s">
        <v>47</v>
      </c>
      <c r="B30">
        <f>G4+J9-J23</f>
        <v>0.22458216815181231</v>
      </c>
      <c r="C30">
        <v>0</v>
      </c>
      <c r="E30">
        <v>11</v>
      </c>
      <c r="F30" s="2">
        <f t="shared" si="5"/>
        <v>-1.1747137640409147</v>
      </c>
      <c r="G30">
        <v>10</v>
      </c>
      <c r="H30">
        <f t="shared" si="7"/>
        <v>-1.399295932192727</v>
      </c>
      <c r="L30" t="s">
        <v>47</v>
      </c>
      <c r="M30">
        <f>R4+U9-U23</f>
        <v>0.28444255341264579</v>
      </c>
      <c r="N30">
        <v>0</v>
      </c>
      <c r="P30">
        <v>11</v>
      </c>
      <c r="Q30" s="2">
        <f t="shared" si="6"/>
        <v>-0.93802657947298762</v>
      </c>
      <c r="R30">
        <v>10</v>
      </c>
      <c r="S30">
        <f t="shared" si="8"/>
        <v>-1.2224691328856334</v>
      </c>
    </row>
    <row r="31" spans="1:21" x14ac:dyDescent="0.35">
      <c r="A31" t="s">
        <v>48</v>
      </c>
      <c r="B31">
        <f>J17-J16-0.5*G2</f>
        <v>-0.37628735554577908</v>
      </c>
      <c r="C31">
        <v>0.46</v>
      </c>
      <c r="E31">
        <v>13</v>
      </c>
      <c r="F31" s="2">
        <f t="shared" si="5"/>
        <v>-1.5510011195866937</v>
      </c>
      <c r="G31">
        <v>12</v>
      </c>
      <c r="H31">
        <f t="shared" si="7"/>
        <v>-0.71471376404091469</v>
      </c>
      <c r="L31" t="s">
        <v>48</v>
      </c>
      <c r="M31">
        <f>U17-U16-0.5*R2</f>
        <v>-0.31159344002097988</v>
      </c>
      <c r="N31">
        <v>0.78</v>
      </c>
      <c r="P31">
        <v>13</v>
      </c>
      <c r="Q31" s="2">
        <f t="shared" si="6"/>
        <v>-1.2496200194939675</v>
      </c>
      <c r="R31">
        <v>12</v>
      </c>
      <c r="S31">
        <f t="shared" si="8"/>
        <v>-0.15802657947298759</v>
      </c>
    </row>
    <row r="32" spans="1:21" x14ac:dyDescent="0.35">
      <c r="A32" t="s">
        <v>49</v>
      </c>
      <c r="B32">
        <f>J18-J17-0.5*G2</f>
        <v>-0.46715282530798596</v>
      </c>
      <c r="C32">
        <v>0.31</v>
      </c>
      <c r="D32">
        <f>SUM(B26:B33)</f>
        <v>-1.5054121133953391</v>
      </c>
      <c r="E32">
        <v>15</v>
      </c>
      <c r="F32" s="2">
        <f t="shared" si="5"/>
        <v>-2.0181539448946797</v>
      </c>
      <c r="G32">
        <v>14</v>
      </c>
      <c r="H32">
        <f t="shared" si="7"/>
        <v>-1.2410011195866937</v>
      </c>
      <c r="L32" t="s">
        <v>49</v>
      </c>
      <c r="M32">
        <f>U18-U17-0.5*R2</f>
        <v>-0.59373944948399959</v>
      </c>
      <c r="N32">
        <v>0.48</v>
      </c>
      <c r="O32">
        <f>SUM(M26:M33)</f>
        <v>-1.4424098933954088</v>
      </c>
      <c r="P32">
        <v>15</v>
      </c>
      <c r="Q32" s="2">
        <f t="shared" si="6"/>
        <v>-1.8433594689779671</v>
      </c>
      <c r="R32">
        <v>14</v>
      </c>
      <c r="S32">
        <f t="shared" si="8"/>
        <v>-0.76962001949396752</v>
      </c>
    </row>
    <row r="33" spans="1:19" x14ac:dyDescent="0.35">
      <c r="A33" t="s">
        <v>50</v>
      </c>
      <c r="B33">
        <f>J9+G7-J18</f>
        <v>0.51274183149934061</v>
      </c>
      <c r="C33">
        <v>0</v>
      </c>
      <c r="E33">
        <v>17</v>
      </c>
      <c r="F33" s="2">
        <f t="shared" si="5"/>
        <v>-1.5054121133953391</v>
      </c>
      <c r="G33">
        <v>16</v>
      </c>
      <c r="H33">
        <f t="shared" si="7"/>
        <v>-2.0181539448946797</v>
      </c>
      <c r="L33" t="s">
        <v>50</v>
      </c>
      <c r="M33">
        <f>U9+R7-U18</f>
        <v>0.40094957558255828</v>
      </c>
      <c r="N33">
        <v>0</v>
      </c>
      <c r="P33">
        <v>17</v>
      </c>
      <c r="Q33" s="2">
        <f t="shared" si="6"/>
        <v>-1.4424098933954088</v>
      </c>
      <c r="R33">
        <v>16</v>
      </c>
      <c r="S33">
        <f t="shared" si="8"/>
        <v>-1.8433594689779671</v>
      </c>
    </row>
    <row r="34" spans="1:19" x14ac:dyDescent="0.35">
      <c r="E34">
        <v>1</v>
      </c>
      <c r="F34" s="2">
        <v>0</v>
      </c>
      <c r="P34">
        <v>1</v>
      </c>
      <c r="Q34" s="2">
        <v>0</v>
      </c>
    </row>
    <row r="35" spans="1:19" x14ac:dyDescent="0.35">
      <c r="A35" t="s">
        <v>51</v>
      </c>
      <c r="B35">
        <f>J13-J10-0.5*G2-G4</f>
        <v>-3.9440639557273727E-2</v>
      </c>
      <c r="C35">
        <v>0.31</v>
      </c>
      <c r="D35" t="s">
        <v>43</v>
      </c>
      <c r="E35">
        <v>3</v>
      </c>
      <c r="F35" s="2">
        <f t="shared" ref="F35:F43" si="9">F34+B35</f>
        <v>-3.9440639557273727E-2</v>
      </c>
      <c r="G35">
        <v>2</v>
      </c>
      <c r="H35">
        <f>F34+C35</f>
        <v>0.31</v>
      </c>
      <c r="L35" t="s">
        <v>51</v>
      </c>
      <c r="M35">
        <f>U13-U10-0.5*R2-R4</f>
        <v>-7.9911711565223698E-3</v>
      </c>
      <c r="N35">
        <v>0.39</v>
      </c>
      <c r="O35" t="s">
        <v>43</v>
      </c>
      <c r="P35">
        <v>3</v>
      </c>
      <c r="Q35" s="2">
        <f t="shared" ref="Q35:Q43" si="10">Q34+M35</f>
        <v>-7.9911711565223698E-3</v>
      </c>
      <c r="R35">
        <v>2</v>
      </c>
      <c r="S35">
        <f>Q34+N35</f>
        <v>0.39</v>
      </c>
    </row>
    <row r="36" spans="1:19" x14ac:dyDescent="0.35">
      <c r="A36" t="s">
        <v>52</v>
      </c>
      <c r="B36">
        <f>J12+G4-J13</f>
        <v>0.4725620124006582</v>
      </c>
      <c r="C36">
        <v>0</v>
      </c>
      <c r="E36">
        <v>5</v>
      </c>
      <c r="F36" s="2">
        <f t="shared" si="9"/>
        <v>0.43312137284338448</v>
      </c>
      <c r="G36">
        <v>4</v>
      </c>
      <c r="H36">
        <f t="shared" ref="H36:H43" si="11">F35+C36</f>
        <v>-3.9440639557273727E-2</v>
      </c>
      <c r="L36" t="s">
        <v>52</v>
      </c>
      <c r="M36">
        <f>U12+R4-U13</f>
        <v>0.58617770730182883</v>
      </c>
      <c r="P36">
        <v>5</v>
      </c>
      <c r="Q36" s="2">
        <f t="shared" si="10"/>
        <v>0.57818653614530646</v>
      </c>
      <c r="R36">
        <v>4</v>
      </c>
      <c r="S36">
        <f t="shared" ref="S36:S43" si="12">Q35+N36</f>
        <v>-7.9911711565223698E-3</v>
      </c>
    </row>
    <row r="37" spans="1:19" x14ac:dyDescent="0.35">
      <c r="A37" t="s">
        <v>70</v>
      </c>
      <c r="B37">
        <f>J14-J12-0.5*G2</f>
        <v>-0.21431573758017386</v>
      </c>
      <c r="C37">
        <v>0.54</v>
      </c>
      <c r="D37">
        <f>G4+J9+G7-5/2*G2-J10</f>
        <v>-1.5054121133953799</v>
      </c>
      <c r="E37">
        <v>7</v>
      </c>
      <c r="F37" s="2">
        <f t="shared" si="9"/>
        <v>0.21880563526321062</v>
      </c>
      <c r="G37">
        <v>6</v>
      </c>
      <c r="H37">
        <f t="shared" si="11"/>
        <v>0.97312137284338451</v>
      </c>
      <c r="L37" t="s">
        <v>53</v>
      </c>
      <c r="M37">
        <f>U14-U12-0.5*R2</f>
        <v>0.1332590401839493</v>
      </c>
      <c r="N37">
        <v>0.76</v>
      </c>
      <c r="O37">
        <f>R4+U9+R7-5/2*R2-U10</f>
        <v>-1.442409893395336</v>
      </c>
      <c r="P37">
        <v>7</v>
      </c>
      <c r="Q37" s="2">
        <f t="shared" si="10"/>
        <v>0.71144557632925576</v>
      </c>
      <c r="R37">
        <v>6</v>
      </c>
      <c r="S37">
        <f t="shared" si="12"/>
        <v>1.3381865361453065</v>
      </c>
    </row>
    <row r="38" spans="1:19" x14ac:dyDescent="0.35">
      <c r="A38" s="3" t="s">
        <v>45</v>
      </c>
      <c r="B38">
        <f>J22+J16-J9-J14</f>
        <v>-1.0687311014680176</v>
      </c>
      <c r="C38">
        <v>0.27</v>
      </c>
      <c r="E38">
        <v>9</v>
      </c>
      <c r="F38" s="2">
        <f t="shared" si="9"/>
        <v>-0.84992546620480702</v>
      </c>
      <c r="G38">
        <v>8</v>
      </c>
      <c r="H38">
        <f t="shared" si="11"/>
        <v>0.48880563526321064</v>
      </c>
      <c r="L38" s="3" t="s">
        <v>45</v>
      </c>
      <c r="M38">
        <f>U22+U16-U9-U14</f>
        <v>-1.2545572607213558</v>
      </c>
      <c r="N38">
        <v>0.9</v>
      </c>
      <c r="P38">
        <v>9</v>
      </c>
      <c r="Q38" s="2">
        <f t="shared" si="10"/>
        <v>-0.5431116843921</v>
      </c>
      <c r="R38">
        <v>8</v>
      </c>
      <c r="S38">
        <f t="shared" si="12"/>
        <v>1.6114455763292557</v>
      </c>
    </row>
    <row r="39" spans="1:19" x14ac:dyDescent="0.35">
      <c r="A39" t="s">
        <v>46</v>
      </c>
      <c r="B39">
        <f>J23-J22-0.5*G2</f>
        <v>-0.5493704659879004</v>
      </c>
      <c r="C39">
        <v>0.7</v>
      </c>
      <c r="E39">
        <v>11</v>
      </c>
      <c r="F39" s="2">
        <f t="shared" si="9"/>
        <v>-1.3992959321927074</v>
      </c>
      <c r="G39">
        <v>10</v>
      </c>
      <c r="H39">
        <f t="shared" si="11"/>
        <v>-0.14992546620480707</v>
      </c>
      <c r="L39" t="s">
        <v>46</v>
      </c>
      <c r="M39">
        <f>U23-U22-0.5*R2</f>
        <v>-0.67935744849351387</v>
      </c>
      <c r="N39">
        <v>0.7</v>
      </c>
      <c r="P39">
        <v>11</v>
      </c>
      <c r="Q39" s="2">
        <f t="shared" si="10"/>
        <v>-1.2224691328856139</v>
      </c>
      <c r="R39">
        <v>10</v>
      </c>
      <c r="S39">
        <f t="shared" si="12"/>
        <v>0.15688831560789995</v>
      </c>
    </row>
    <row r="40" spans="1:19" x14ac:dyDescent="0.35">
      <c r="A40" t="s">
        <v>47</v>
      </c>
      <c r="B40">
        <f>G4+J9-J23</f>
        <v>0.22458216815181231</v>
      </c>
      <c r="C40">
        <v>0</v>
      </c>
      <c r="E40">
        <v>13</v>
      </c>
      <c r="F40" s="2">
        <f t="shared" si="9"/>
        <v>-1.1747137640408951</v>
      </c>
      <c r="G40">
        <v>12</v>
      </c>
      <c r="H40">
        <f t="shared" si="11"/>
        <v>-1.3992959321927074</v>
      </c>
      <c r="L40" t="s">
        <v>47</v>
      </c>
      <c r="M40">
        <f>R4+U9-U23</f>
        <v>0.28444255341264579</v>
      </c>
      <c r="N40">
        <v>0</v>
      </c>
      <c r="P40">
        <v>13</v>
      </c>
      <c r="Q40" s="2">
        <f t="shared" si="10"/>
        <v>-0.93802657947296808</v>
      </c>
      <c r="R40">
        <v>12</v>
      </c>
      <c r="S40">
        <f t="shared" si="12"/>
        <v>-1.2224691328856139</v>
      </c>
    </row>
    <row r="41" spans="1:19" x14ac:dyDescent="0.35">
      <c r="A41" t="s">
        <v>48</v>
      </c>
      <c r="B41">
        <f>J17-J16-0.5*G2</f>
        <v>-0.37628735554577908</v>
      </c>
      <c r="C41">
        <v>0.46</v>
      </c>
      <c r="E41">
        <v>15</v>
      </c>
      <c r="F41" s="2">
        <f t="shared" si="9"/>
        <v>-1.5510011195866742</v>
      </c>
      <c r="G41">
        <v>14</v>
      </c>
      <c r="H41">
        <f t="shared" si="11"/>
        <v>-0.71471376404089515</v>
      </c>
      <c r="L41" t="s">
        <v>48</v>
      </c>
      <c r="M41">
        <f>U17-U16-0.5*R2</f>
        <v>-0.31159344002097988</v>
      </c>
      <c r="N41">
        <v>0.78</v>
      </c>
      <c r="P41">
        <v>15</v>
      </c>
      <c r="Q41" s="2">
        <f t="shared" si="10"/>
        <v>-1.249620019493948</v>
      </c>
      <c r="R41">
        <v>14</v>
      </c>
      <c r="S41">
        <f t="shared" si="12"/>
        <v>-0.15802657947296805</v>
      </c>
    </row>
    <row r="42" spans="1:19" x14ac:dyDescent="0.35">
      <c r="A42" t="s">
        <v>49</v>
      </c>
      <c r="B42">
        <f>J18-J17-0.5*G2</f>
        <v>-0.46715282530798596</v>
      </c>
      <c r="C42">
        <v>0.31</v>
      </c>
      <c r="D42">
        <f>SUM(B35:B43)</f>
        <v>-1.5054121133953196</v>
      </c>
      <c r="E42">
        <v>17</v>
      </c>
      <c r="F42" s="2">
        <f t="shared" si="9"/>
        <v>-2.0181539448946602</v>
      </c>
      <c r="G42">
        <v>16</v>
      </c>
      <c r="H42">
        <f t="shared" si="11"/>
        <v>-1.2410011195866741</v>
      </c>
      <c r="L42" t="s">
        <v>49</v>
      </c>
      <c r="M42">
        <f>U18-U17-0.5*R2</f>
        <v>-0.59373944948399959</v>
      </c>
      <c r="N42">
        <v>0.48</v>
      </c>
      <c r="O42">
        <f>SUM(M35:M43)</f>
        <v>-1.4424098933953893</v>
      </c>
      <c r="P42">
        <v>17</v>
      </c>
      <c r="Q42" s="2">
        <f t="shared" si="10"/>
        <v>-1.8433594689779476</v>
      </c>
      <c r="R42">
        <v>16</v>
      </c>
      <c r="S42">
        <f t="shared" si="12"/>
        <v>-0.76962001949394798</v>
      </c>
    </row>
    <row r="43" spans="1:19" x14ac:dyDescent="0.35">
      <c r="A43" t="s">
        <v>50</v>
      </c>
      <c r="B43">
        <f>J9+G7-J18</f>
        <v>0.51274183149934061</v>
      </c>
      <c r="C43">
        <v>0</v>
      </c>
      <c r="E43">
        <v>19</v>
      </c>
      <c r="F43" s="2">
        <f t="shared" si="9"/>
        <v>-1.5054121133953196</v>
      </c>
      <c r="G43">
        <v>18</v>
      </c>
      <c r="H43">
        <f t="shared" si="11"/>
        <v>-2.0181539448946602</v>
      </c>
      <c r="L43" t="s">
        <v>50</v>
      </c>
      <c r="M43">
        <f>U9+R7-U18</f>
        <v>0.40094957558255828</v>
      </c>
      <c r="N43">
        <v>0</v>
      </c>
      <c r="P43">
        <v>19</v>
      </c>
      <c r="Q43" s="2">
        <f t="shared" si="10"/>
        <v>-1.4424098933953893</v>
      </c>
      <c r="R43">
        <v>18</v>
      </c>
      <c r="S43">
        <f t="shared" si="12"/>
        <v>-1.8433594689779476</v>
      </c>
    </row>
    <row r="44" spans="1:19" x14ac:dyDescent="0.35">
      <c r="E44">
        <v>1</v>
      </c>
      <c r="F44" s="2">
        <v>0</v>
      </c>
      <c r="P44">
        <v>1</v>
      </c>
      <c r="Q44" s="2">
        <v>0</v>
      </c>
    </row>
    <row r="45" spans="1:19" x14ac:dyDescent="0.35">
      <c r="A45" t="s">
        <v>51</v>
      </c>
      <c r="B45">
        <f>J13-J10-0.5*G2-G4</f>
        <v>-3.9440639557273727E-2</v>
      </c>
      <c r="C45">
        <v>0.31</v>
      </c>
      <c r="D45" t="s">
        <v>43</v>
      </c>
      <c r="E45">
        <v>3</v>
      </c>
      <c r="F45" s="2">
        <f t="shared" ref="F45:F52" si="13">F44+B45</f>
        <v>-3.9440639557273727E-2</v>
      </c>
      <c r="G45">
        <v>2</v>
      </c>
      <c r="H45">
        <f>F44+C45</f>
        <v>0.31</v>
      </c>
      <c r="L45" t="s">
        <v>51</v>
      </c>
      <c r="M45">
        <f>U13-U10-0.5*R2-R4</f>
        <v>-7.9911711565223698E-3</v>
      </c>
      <c r="N45">
        <v>0.39</v>
      </c>
      <c r="O45" t="s">
        <v>43</v>
      </c>
      <c r="P45">
        <v>3</v>
      </c>
      <c r="Q45" s="2">
        <f t="shared" ref="Q45:Q52" si="14">Q44+M45</f>
        <v>-7.9911711565223698E-3</v>
      </c>
      <c r="R45">
        <v>2</v>
      </c>
      <c r="S45">
        <f>Q44+N45</f>
        <v>0.39</v>
      </c>
    </row>
    <row r="46" spans="1:19" x14ac:dyDescent="0.35">
      <c r="A46" t="s">
        <v>52</v>
      </c>
      <c r="B46">
        <f>J12+G4-J13</f>
        <v>0.4725620124006582</v>
      </c>
      <c r="C46">
        <v>0</v>
      </c>
      <c r="E46">
        <v>5</v>
      </c>
      <c r="F46" s="2">
        <f t="shared" si="13"/>
        <v>0.43312137284338448</v>
      </c>
      <c r="G46">
        <v>4</v>
      </c>
      <c r="H46">
        <f t="shared" ref="H46:H52" si="15">F45+C46</f>
        <v>-3.9440639557273727E-2</v>
      </c>
      <c r="L46" t="s">
        <v>52</v>
      </c>
      <c r="M46">
        <f>U12+R4-U13</f>
        <v>0.58617770730182883</v>
      </c>
      <c r="P46">
        <v>5</v>
      </c>
      <c r="Q46" s="2">
        <f t="shared" si="14"/>
        <v>0.57818653614530646</v>
      </c>
      <c r="R46">
        <v>4</v>
      </c>
      <c r="S46">
        <f t="shared" ref="S46:S52" si="16">Q45+N46</f>
        <v>-7.9911711565223698E-3</v>
      </c>
    </row>
    <row r="47" spans="1:19" x14ac:dyDescent="0.35">
      <c r="A47" t="s">
        <v>71</v>
      </c>
      <c r="B47">
        <f>J23+J15-J12-0.5*G2-J9</f>
        <v>-1.3251790881159877</v>
      </c>
      <c r="C47">
        <v>0.39</v>
      </c>
      <c r="D47">
        <f>G4+J9+G7-5/2*G2-J10</f>
        <v>-1.5054121133953799</v>
      </c>
      <c r="E47">
        <v>7</v>
      </c>
      <c r="F47" s="2">
        <f t="shared" si="13"/>
        <v>-0.89205771527260325</v>
      </c>
      <c r="G47">
        <v>6</v>
      </c>
      <c r="H47">
        <f t="shared" si="15"/>
        <v>0.82312137284338449</v>
      </c>
      <c r="L47" t="s">
        <v>54</v>
      </c>
      <c r="M47">
        <f>U23+U15-U12-0.5*R2-U9</f>
        <v>-1.241353775244022</v>
      </c>
      <c r="N47">
        <v>0.46</v>
      </c>
      <c r="O47">
        <f>R4+U9+R7-5/2*R2-U10</f>
        <v>-1.442409893395336</v>
      </c>
      <c r="P47">
        <v>7</v>
      </c>
      <c r="Q47" s="2">
        <f t="shared" si="14"/>
        <v>-0.66316723909871556</v>
      </c>
      <c r="R47">
        <v>6</v>
      </c>
      <c r="S47">
        <f t="shared" si="16"/>
        <v>1.0381865361453064</v>
      </c>
    </row>
    <row r="48" spans="1:19" x14ac:dyDescent="0.35">
      <c r="A48" t="s">
        <v>47</v>
      </c>
      <c r="B48">
        <f>G4+J9-J23</f>
        <v>0.22458216815181231</v>
      </c>
      <c r="C48">
        <v>0</v>
      </c>
      <c r="E48">
        <v>9</v>
      </c>
      <c r="F48" s="2">
        <f t="shared" si="13"/>
        <v>-0.66747554712079094</v>
      </c>
      <c r="G48">
        <v>8</v>
      </c>
      <c r="H48">
        <f t="shared" si="15"/>
        <v>-0.89205771527260325</v>
      </c>
      <c r="L48" t="s">
        <v>47</v>
      </c>
      <c r="M48">
        <f>R4+U9-U23</f>
        <v>0.28444255341264579</v>
      </c>
      <c r="N48">
        <v>0</v>
      </c>
      <c r="P48">
        <v>9</v>
      </c>
      <c r="Q48" s="2">
        <f t="shared" si="14"/>
        <v>-0.37872468568606976</v>
      </c>
      <c r="R48">
        <v>8</v>
      </c>
      <c r="S48">
        <f t="shared" si="16"/>
        <v>-0.66316723909871556</v>
      </c>
    </row>
    <row r="49" spans="1:19" x14ac:dyDescent="0.35">
      <c r="A49" t="s">
        <v>55</v>
      </c>
      <c r="B49">
        <f>J16-0.5*G2-J15</f>
        <v>-0.5072382169202001</v>
      </c>
      <c r="C49">
        <v>0.47</v>
      </c>
      <c r="E49">
        <v>11</v>
      </c>
      <c r="F49" s="2">
        <f t="shared" si="13"/>
        <v>-1.174713764040991</v>
      </c>
      <c r="G49">
        <v>10</v>
      </c>
      <c r="H49">
        <f t="shared" si="15"/>
        <v>-0.19747554712079096</v>
      </c>
      <c r="L49" t="s">
        <v>55</v>
      </c>
      <c r="M49">
        <f>U16-0.5*R2-U15</f>
        <v>-0.55930189378682371</v>
      </c>
      <c r="N49">
        <v>0.89</v>
      </c>
      <c r="P49">
        <v>11</v>
      </c>
      <c r="Q49" s="2">
        <f t="shared" si="14"/>
        <v>-0.93802657947289347</v>
      </c>
      <c r="R49">
        <v>10</v>
      </c>
      <c r="S49">
        <f t="shared" si="16"/>
        <v>0.51127531431393025</v>
      </c>
    </row>
    <row r="50" spans="1:19" x14ac:dyDescent="0.35">
      <c r="A50" t="s">
        <v>48</v>
      </c>
      <c r="B50">
        <f>J17-J16-0.5*G2</f>
        <v>-0.37628735554577908</v>
      </c>
      <c r="C50">
        <v>0.46</v>
      </c>
      <c r="E50">
        <v>13</v>
      </c>
      <c r="F50" s="2">
        <f t="shared" si="13"/>
        <v>-1.5510011195867701</v>
      </c>
      <c r="G50">
        <v>12</v>
      </c>
      <c r="H50">
        <f t="shared" si="15"/>
        <v>-0.71471376404099107</v>
      </c>
      <c r="L50" t="s">
        <v>48</v>
      </c>
      <c r="M50">
        <f>U17-U16-0.5*R2</f>
        <v>-0.31159344002097988</v>
      </c>
      <c r="N50">
        <v>0.78</v>
      </c>
      <c r="P50">
        <v>13</v>
      </c>
      <c r="Q50" s="2">
        <f t="shared" si="14"/>
        <v>-1.2496200194938734</v>
      </c>
      <c r="R50">
        <v>12</v>
      </c>
      <c r="S50">
        <f t="shared" si="16"/>
        <v>-0.15802657947289345</v>
      </c>
    </row>
    <row r="51" spans="1:19" x14ac:dyDescent="0.35">
      <c r="A51" t="s">
        <v>49</v>
      </c>
      <c r="B51">
        <f>J18-J17-0.5*G2</f>
        <v>-0.46715282530798596</v>
      </c>
      <c r="C51">
        <v>0.31</v>
      </c>
      <c r="E51">
        <v>15</v>
      </c>
      <c r="F51" s="2">
        <f t="shared" si="13"/>
        <v>-2.0181539448947561</v>
      </c>
      <c r="G51">
        <v>14</v>
      </c>
      <c r="H51">
        <f t="shared" si="15"/>
        <v>-1.2410011195867701</v>
      </c>
      <c r="L51" t="s">
        <v>49</v>
      </c>
      <c r="M51">
        <f>U18-U17-0.5*R2</f>
        <v>-0.59373944948399959</v>
      </c>
      <c r="N51">
        <v>0.48</v>
      </c>
      <c r="P51">
        <v>15</v>
      </c>
      <c r="Q51" s="2">
        <f t="shared" si="14"/>
        <v>-1.843359468977873</v>
      </c>
      <c r="R51">
        <v>14</v>
      </c>
      <c r="S51">
        <f t="shared" si="16"/>
        <v>-0.76962001949387338</v>
      </c>
    </row>
    <row r="52" spans="1:19" x14ac:dyDescent="0.35">
      <c r="A52" t="s">
        <v>50</v>
      </c>
      <c r="B52">
        <f>J9+G7-J18</f>
        <v>0.51274183149934061</v>
      </c>
      <c r="C52">
        <v>0</v>
      </c>
      <c r="D52">
        <f>SUM(B45:B52)</f>
        <v>-1.5054121133954155</v>
      </c>
      <c r="E52">
        <v>17</v>
      </c>
      <c r="F52" s="2">
        <f t="shared" si="13"/>
        <v>-1.5054121133954155</v>
      </c>
      <c r="G52">
        <v>16</v>
      </c>
      <c r="H52">
        <f t="shared" si="15"/>
        <v>-2.0181539448947561</v>
      </c>
      <c r="L52" t="s">
        <v>50</v>
      </c>
      <c r="M52">
        <f>U9+R7-U18</f>
        <v>0.40094957558255828</v>
      </c>
      <c r="N52">
        <v>0</v>
      </c>
      <c r="O52">
        <f>SUM(M45:M52)</f>
        <v>-1.4424098933953147</v>
      </c>
      <c r="P52">
        <v>17</v>
      </c>
      <c r="Q52" s="2">
        <f t="shared" si="14"/>
        <v>-1.4424098933953147</v>
      </c>
      <c r="R52">
        <v>16</v>
      </c>
      <c r="S52">
        <f t="shared" si="16"/>
        <v>-1.843359468977873</v>
      </c>
    </row>
    <row r="53" spans="1:19" x14ac:dyDescent="0.35">
      <c r="E53">
        <v>1</v>
      </c>
      <c r="F53" s="2">
        <v>0</v>
      </c>
      <c r="P53">
        <v>1</v>
      </c>
      <c r="Q53" s="2">
        <v>0</v>
      </c>
    </row>
    <row r="54" spans="1:19" x14ac:dyDescent="0.35">
      <c r="A54" t="s">
        <v>51</v>
      </c>
      <c r="B54">
        <f>J13-J10-0.5*G2-G4</f>
        <v>-3.9440639557273727E-2</v>
      </c>
      <c r="C54">
        <v>0.31</v>
      </c>
      <c r="D54" t="s">
        <v>56</v>
      </c>
      <c r="E54">
        <v>3</v>
      </c>
      <c r="F54" s="2">
        <f>F53+B54</f>
        <v>-3.9440639557273727E-2</v>
      </c>
      <c r="G54">
        <v>2</v>
      </c>
      <c r="H54">
        <f>F53+C54</f>
        <v>0.31</v>
      </c>
      <c r="L54" t="s">
        <v>51</v>
      </c>
      <c r="M54">
        <f>U13-U10-0.5*R2-R4</f>
        <v>-7.9911711565223698E-3</v>
      </c>
      <c r="N54">
        <v>0.39</v>
      </c>
      <c r="O54" t="s">
        <v>56</v>
      </c>
      <c r="P54">
        <v>3</v>
      </c>
      <c r="Q54" s="2">
        <f>Q53+M54</f>
        <v>-7.9911711565223698E-3</v>
      </c>
      <c r="R54">
        <v>2</v>
      </c>
      <c r="S54">
        <f>Q53+N54</f>
        <v>0.39</v>
      </c>
    </row>
    <row r="55" spans="1:19" x14ac:dyDescent="0.35">
      <c r="A55" t="s">
        <v>52</v>
      </c>
      <c r="B55">
        <f>J12+G4-J13</f>
        <v>0.4725620124006582</v>
      </c>
      <c r="C55">
        <v>0</v>
      </c>
      <c r="E55">
        <v>5</v>
      </c>
      <c r="F55" s="2">
        <f t="shared" ref="F55:F63" si="17">F54+B55</f>
        <v>0.43312137284338448</v>
      </c>
      <c r="G55">
        <v>4</v>
      </c>
      <c r="H55">
        <f t="shared" ref="H55:H63" si="18">F54+C55</f>
        <v>-3.9440639557273727E-2</v>
      </c>
      <c r="L55" t="s">
        <v>52</v>
      </c>
      <c r="M55">
        <f>U12+R4-U13</f>
        <v>0.58617770730182883</v>
      </c>
      <c r="N55">
        <v>0</v>
      </c>
      <c r="P55">
        <v>5</v>
      </c>
      <c r="Q55" s="2">
        <f t="shared" ref="Q55:Q63" si="19">Q54+M55</f>
        <v>0.57818653614530646</v>
      </c>
      <c r="R55">
        <v>4</v>
      </c>
      <c r="S55">
        <f t="shared" ref="S55:S63" si="20">Q54+N55</f>
        <v>-7.9911711565223698E-3</v>
      </c>
    </row>
    <row r="56" spans="1:19" x14ac:dyDescent="0.35">
      <c r="A56" t="s">
        <v>57</v>
      </c>
      <c r="B56">
        <f>J23+J15-J12-0.5*G2-J9</f>
        <v>-1.3251790881159877</v>
      </c>
      <c r="C56">
        <v>0.39</v>
      </c>
      <c r="D56">
        <f>J9+G6+2*G4-2*G2-J10-G3</f>
        <v>-3.9031906305150041</v>
      </c>
      <c r="E56">
        <v>7</v>
      </c>
      <c r="F56" s="2">
        <f t="shared" si="17"/>
        <v>-0.89205771527260325</v>
      </c>
      <c r="G56">
        <v>6</v>
      </c>
      <c r="H56">
        <f t="shared" si="18"/>
        <v>0.82312137284338449</v>
      </c>
      <c r="L56" t="s">
        <v>57</v>
      </c>
      <c r="M56">
        <f>U23+U15-U12-0.5*R2-U9</f>
        <v>-1.241353775244022</v>
      </c>
      <c r="N56">
        <v>0.46</v>
      </c>
      <c r="O56">
        <f>U9+R6+2*R4-2*R2-U10-R3</f>
        <v>-3.8401884105149602</v>
      </c>
      <c r="P56">
        <v>7</v>
      </c>
      <c r="Q56" s="2">
        <f t="shared" si="19"/>
        <v>-0.66316723909871556</v>
      </c>
      <c r="R56">
        <v>6</v>
      </c>
      <c r="S56">
        <f t="shared" si="20"/>
        <v>1.0381865361453064</v>
      </c>
    </row>
    <row r="57" spans="1:19" x14ac:dyDescent="0.35">
      <c r="A57" t="s">
        <v>47</v>
      </c>
      <c r="B57">
        <f>G4+J9-J23</f>
        <v>0.22458216815181231</v>
      </c>
      <c r="C57">
        <v>0</v>
      </c>
      <c r="E57">
        <v>9</v>
      </c>
      <c r="F57" s="2">
        <f t="shared" si="17"/>
        <v>-0.66747554712079094</v>
      </c>
      <c r="G57">
        <v>8</v>
      </c>
      <c r="H57">
        <f t="shared" si="18"/>
        <v>-0.89205771527260325</v>
      </c>
      <c r="L57" t="s">
        <v>47</v>
      </c>
      <c r="M57">
        <f>R4+U9-U23</f>
        <v>0.28444255341264579</v>
      </c>
      <c r="N57">
        <v>0</v>
      </c>
      <c r="P57">
        <v>9</v>
      </c>
      <c r="Q57" s="2">
        <f t="shared" si="19"/>
        <v>-0.37872468568606976</v>
      </c>
      <c r="R57">
        <v>8</v>
      </c>
      <c r="S57">
        <f t="shared" si="20"/>
        <v>-0.66316723909871556</v>
      </c>
    </row>
    <row r="58" spans="1:19" x14ac:dyDescent="0.35">
      <c r="A58" t="s">
        <v>58</v>
      </c>
      <c r="B58">
        <f>J19-J15-G3</f>
        <v>-1.7126459604011384</v>
      </c>
      <c r="C58">
        <v>0</v>
      </c>
      <c r="E58">
        <v>11</v>
      </c>
      <c r="F58" s="2">
        <f t="shared" si="17"/>
        <v>-2.3801215075219293</v>
      </c>
      <c r="G58">
        <v>10</v>
      </c>
      <c r="H58">
        <f t="shared" si="18"/>
        <v>-0.66747554712079094</v>
      </c>
      <c r="L58" t="s">
        <v>58</v>
      </c>
      <c r="M58">
        <f>U19-U15-R3</f>
        <v>-0.979490502425298</v>
      </c>
      <c r="N58">
        <v>0</v>
      </c>
      <c r="P58">
        <v>11</v>
      </c>
      <c r="Q58" s="2">
        <f t="shared" si="19"/>
        <v>-1.3582151881113678</v>
      </c>
      <c r="R58">
        <v>10</v>
      </c>
      <c r="S58">
        <f t="shared" si="20"/>
        <v>-0.37872468568606976</v>
      </c>
    </row>
    <row r="59" spans="1:19" x14ac:dyDescent="0.35">
      <c r="A59" t="s">
        <v>59</v>
      </c>
      <c r="B59">
        <f>J20-J19</f>
        <v>0.93229317753815621</v>
      </c>
      <c r="C59">
        <v>1.75</v>
      </c>
      <c r="E59">
        <v>13</v>
      </c>
      <c r="F59" s="2">
        <f t="shared" si="17"/>
        <v>-1.4478283299837731</v>
      </c>
      <c r="G59">
        <v>12</v>
      </c>
      <c r="H59">
        <f t="shared" si="18"/>
        <v>-0.6301215075219293</v>
      </c>
      <c r="L59" t="s">
        <v>59</v>
      </c>
      <c r="M59">
        <f>U20-U19</f>
        <v>0.39768230286500739</v>
      </c>
      <c r="N59">
        <v>0.88</v>
      </c>
      <c r="P59">
        <v>13</v>
      </c>
      <c r="Q59" s="2">
        <f>Q58+M59</f>
        <v>-0.96053288524636038</v>
      </c>
      <c r="R59">
        <v>12</v>
      </c>
      <c r="S59">
        <f t="shared" si="20"/>
        <v>-0.47821518811136776</v>
      </c>
    </row>
    <row r="60" spans="1:19" x14ac:dyDescent="0.35">
      <c r="A60" t="s">
        <v>60</v>
      </c>
      <c r="B60">
        <f>J22+J21-J20-0.5*G2-J9</f>
        <v>-2.2186164401523456</v>
      </c>
      <c r="C60">
        <v>0.39</v>
      </c>
      <c r="E60">
        <v>15</v>
      </c>
      <c r="F60" s="2">
        <f t="shared" si="17"/>
        <v>-3.6664447701361187</v>
      </c>
      <c r="G60">
        <v>14</v>
      </c>
      <c r="H60">
        <f t="shared" si="18"/>
        <v>-1.057828329983773</v>
      </c>
      <c r="L60" t="s">
        <v>60</v>
      </c>
      <c r="M60">
        <f>U22+U21-U20-0.5*R2-U9</f>
        <v>-2.4287902916225903</v>
      </c>
      <c r="N60">
        <v>0.62</v>
      </c>
      <c r="P60">
        <v>15</v>
      </c>
      <c r="Q60" s="2">
        <f t="shared" si="19"/>
        <v>-3.3893231768689507</v>
      </c>
      <c r="R60">
        <v>14</v>
      </c>
      <c r="S60" s="2">
        <f>Q59+N60</f>
        <v>-0.34053288524636038</v>
      </c>
    </row>
    <row r="61" spans="1:19" x14ac:dyDescent="0.35">
      <c r="A61" t="s">
        <v>46</v>
      </c>
      <c r="B61">
        <f>J23-J22-0.5*G2</f>
        <v>-0.5493704659879004</v>
      </c>
      <c r="C61">
        <v>0.7</v>
      </c>
      <c r="E61">
        <v>17</v>
      </c>
      <c r="F61" s="2">
        <f t="shared" si="17"/>
        <v>-4.2158152361240191</v>
      </c>
      <c r="G61">
        <v>16</v>
      </c>
      <c r="H61">
        <f t="shared" si="18"/>
        <v>-2.9664447701361185</v>
      </c>
      <c r="L61" t="s">
        <v>46</v>
      </c>
      <c r="M61">
        <f>U23-U22-0.5*R2</f>
        <v>-0.67935744849351387</v>
      </c>
      <c r="N61">
        <v>0.7</v>
      </c>
      <c r="P61">
        <v>17</v>
      </c>
      <c r="Q61" s="2">
        <f t="shared" si="19"/>
        <v>-4.0686806253624646</v>
      </c>
      <c r="R61">
        <v>16</v>
      </c>
      <c r="S61">
        <f t="shared" si="20"/>
        <v>-2.6893231768689505</v>
      </c>
    </row>
    <row r="62" spans="1:19" x14ac:dyDescent="0.35">
      <c r="A62" t="s">
        <v>47</v>
      </c>
      <c r="B62">
        <f>G4+J9-J23</f>
        <v>0.22458216815181231</v>
      </c>
      <c r="C62">
        <v>0</v>
      </c>
      <c r="E62">
        <v>19</v>
      </c>
      <c r="F62" s="2">
        <f t="shared" si="17"/>
        <v>-3.9912330679722068</v>
      </c>
      <c r="G62">
        <v>18</v>
      </c>
      <c r="H62">
        <f t="shared" si="18"/>
        <v>-4.2158152361240191</v>
      </c>
      <c r="L62" t="s">
        <v>47</v>
      </c>
      <c r="M62">
        <f>R4+U9-U23</f>
        <v>0.28444255341264579</v>
      </c>
      <c r="N62">
        <v>0</v>
      </c>
      <c r="P62">
        <v>19</v>
      </c>
      <c r="Q62" s="2">
        <f t="shared" si="19"/>
        <v>-3.7842380719498188</v>
      </c>
      <c r="R62">
        <v>18</v>
      </c>
      <c r="S62">
        <f t="shared" si="20"/>
        <v>-4.0686806253624646</v>
      </c>
    </row>
    <row r="63" spans="1:19" x14ac:dyDescent="0.35">
      <c r="A63" t="s">
        <v>61</v>
      </c>
      <c r="B63">
        <f>G6+J9-J21</f>
        <v>8.8042437457204414E-2</v>
      </c>
      <c r="C63">
        <v>0</v>
      </c>
      <c r="D63">
        <f>SUM(B54:B63)</f>
        <v>-3.9031906305150024</v>
      </c>
      <c r="E63">
        <v>21</v>
      </c>
      <c r="F63" s="2">
        <f t="shared" si="17"/>
        <v>-3.9031906305150024</v>
      </c>
      <c r="G63">
        <v>20</v>
      </c>
      <c r="H63">
        <f t="shared" si="18"/>
        <v>-3.9912330679722068</v>
      </c>
      <c r="L63" t="s">
        <v>61</v>
      </c>
      <c r="M63">
        <f>R6+U9-U21</f>
        <v>-5.5950338564969115E-2</v>
      </c>
      <c r="N63">
        <v>0</v>
      </c>
      <c r="O63">
        <f>SUM(M54:M63)</f>
        <v>-3.8401884105147879</v>
      </c>
      <c r="P63">
        <v>21</v>
      </c>
      <c r="Q63" s="2">
        <f t="shared" si="19"/>
        <v>-3.8401884105147879</v>
      </c>
      <c r="R63">
        <v>20</v>
      </c>
      <c r="S63">
        <f t="shared" si="20"/>
        <v>-3.7842380719498188</v>
      </c>
    </row>
    <row r="64" spans="1:19" x14ac:dyDescent="0.35">
      <c r="A64" t="s">
        <v>62</v>
      </c>
      <c r="B64">
        <f>G5+J9-J20</f>
        <v>9.1018225822892873E-2</v>
      </c>
      <c r="C64">
        <v>0</v>
      </c>
      <c r="E64">
        <v>15</v>
      </c>
      <c r="F64" s="2">
        <f>F59+B64</f>
        <v>-1.3568101041608802</v>
      </c>
      <c r="G64">
        <v>14</v>
      </c>
      <c r="H64" s="2">
        <f>F59+C64</f>
        <v>-1.4478283299837731</v>
      </c>
      <c r="L64" t="s">
        <v>62</v>
      </c>
      <c r="M64">
        <f>R5+U9-U20</f>
        <v>-0.33327499891441903</v>
      </c>
      <c r="N64">
        <v>0</v>
      </c>
      <c r="P64">
        <v>15</v>
      </c>
      <c r="Q64" s="2">
        <f>Q59+M64</f>
        <v>-1.2938078841607794</v>
      </c>
      <c r="R64">
        <v>14</v>
      </c>
      <c r="S64" s="2">
        <f>Q59+N64</f>
        <v>-0.96053288524636038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B2-81D2-4E3C-965A-033B04AB3446}">
  <dimension ref="A2:X64"/>
  <sheetViews>
    <sheetView topLeftCell="A50" zoomScale="60" workbookViewId="0">
      <selection activeCell="K13" sqref="K13"/>
    </sheetView>
  </sheetViews>
  <sheetFormatPr defaultRowHeight="14.5" x14ac:dyDescent="0.35"/>
  <cols>
    <col min="1" max="1" width="27.1796875" customWidth="1"/>
    <col min="12" max="12" width="24.08984375" customWidth="1"/>
  </cols>
  <sheetData>
    <row r="2" spans="1:24" x14ac:dyDescent="0.35">
      <c r="A2" t="s">
        <v>0</v>
      </c>
      <c r="B2">
        <v>-6.7513797499999999</v>
      </c>
      <c r="D2">
        <v>1.3221999999999999E-2</v>
      </c>
      <c r="E2">
        <v>32.591000000000001</v>
      </c>
      <c r="F2">
        <f t="shared" ref="F2:F7" si="0">-298.15*E2/(1000*23.06*27.211)</f>
        <v>-1.5485623448350996E-2</v>
      </c>
      <c r="G2">
        <f>(D2+F2)*27.211+B2</f>
        <v>-6.8129752076530785</v>
      </c>
      <c r="H2" t="s">
        <v>1</v>
      </c>
      <c r="L2" t="s">
        <v>0</v>
      </c>
      <c r="M2">
        <v>-6.7513797499999999</v>
      </c>
      <c r="O2">
        <v>1.3221999999999999E-2</v>
      </c>
      <c r="P2">
        <v>32.591000000000001</v>
      </c>
      <c r="Q2">
        <f t="shared" ref="Q2:Q7" si="1">-298.15*P2/(1000*23.06*27.211)</f>
        <v>-1.5485623448350996E-2</v>
      </c>
      <c r="R2">
        <f>(O2+Q2)*27.211+M2</f>
        <v>-6.8129752076530785</v>
      </c>
      <c r="S2" t="s">
        <v>1</v>
      </c>
    </row>
    <row r="3" spans="1:24" x14ac:dyDescent="0.35">
      <c r="A3" t="s">
        <v>2</v>
      </c>
      <c r="B3">
        <v>-12.27786371</v>
      </c>
      <c r="D3">
        <v>7.7780000000000002E-3</v>
      </c>
      <c r="E3">
        <v>47.643999999999998</v>
      </c>
      <c r="F3">
        <f t="shared" si="0"/>
        <v>-2.2638060923973944E-2</v>
      </c>
      <c r="G3">
        <f>(D3+F3)*27.211+B3+H3</f>
        <v>-12.818855473964826</v>
      </c>
      <c r="H3">
        <v>-0.13663464616257209</v>
      </c>
      <c r="I3" t="s">
        <v>3</v>
      </c>
      <c r="L3" t="s">
        <v>2</v>
      </c>
      <c r="M3">
        <v>-12.27786371</v>
      </c>
      <c r="O3">
        <v>7.7780000000000002E-3</v>
      </c>
      <c r="P3">
        <v>47.643999999999998</v>
      </c>
      <c r="Q3">
        <f t="shared" si="1"/>
        <v>-2.2638060923973944E-2</v>
      </c>
      <c r="R3">
        <f>(O3+Q3)*27.211+M3+S3</f>
        <v>-12.818855473964826</v>
      </c>
      <c r="S3">
        <v>-0.13663464616257209</v>
      </c>
      <c r="T3" t="s">
        <v>3</v>
      </c>
    </row>
    <row r="4" spans="1:24" x14ac:dyDescent="0.35">
      <c r="A4" t="s">
        <v>4</v>
      </c>
      <c r="B4">
        <v>-14.211913689999999</v>
      </c>
      <c r="D4">
        <v>2.4642000000000001E-2</v>
      </c>
      <c r="E4">
        <v>46.493000000000002</v>
      </c>
      <c r="F4">
        <f t="shared" si="0"/>
        <v>-2.2091162927930501E-2</v>
      </c>
      <c r="G4">
        <f>(D4+F4)*27.211+B4+H4</f>
        <v>-13.957261441848422</v>
      </c>
      <c r="H4" s="1">
        <v>0.18524142058349399</v>
      </c>
      <c r="I4" t="s">
        <v>5</v>
      </c>
      <c r="L4" t="s">
        <v>4</v>
      </c>
      <c r="M4">
        <v>-14.211913689999999</v>
      </c>
      <c r="O4">
        <v>2.4642000000000001E-2</v>
      </c>
      <c r="P4">
        <v>46.493000000000002</v>
      </c>
      <c r="Q4">
        <f t="shared" si="1"/>
        <v>-2.2091162927930501E-2</v>
      </c>
      <c r="R4">
        <f>(O4+Q4)*27.211+M4+S4</f>
        <v>-13.957261441848422</v>
      </c>
      <c r="S4" s="1">
        <v>0.18524142058349399</v>
      </c>
      <c r="T4" t="s">
        <v>5</v>
      </c>
    </row>
    <row r="5" spans="1:24" x14ac:dyDescent="0.35">
      <c r="A5" t="s">
        <v>6</v>
      </c>
      <c r="B5">
        <v>-21.375413049999999</v>
      </c>
      <c r="D5">
        <v>1.3553000000000001E-2</v>
      </c>
      <c r="E5">
        <v>43.02</v>
      </c>
      <c r="F5">
        <f t="shared" si="0"/>
        <v>-2.044096593378724E-2</v>
      </c>
      <c r="G5">
        <f>(D5+F5)*27.211+B5</f>
        <v>-21.562841491024283</v>
      </c>
      <c r="H5" t="s">
        <v>1</v>
      </c>
      <c r="L5" t="s">
        <v>6</v>
      </c>
      <c r="M5">
        <v>-21.375413049999999</v>
      </c>
      <c r="O5">
        <v>1.3553000000000001E-2</v>
      </c>
      <c r="P5">
        <v>43.02</v>
      </c>
      <c r="Q5">
        <f t="shared" si="1"/>
        <v>-2.044096593378724E-2</v>
      </c>
      <c r="R5">
        <f>(O5+Q5)*27.211+M5</f>
        <v>-21.562841491024283</v>
      </c>
      <c r="S5" t="s">
        <v>1</v>
      </c>
    </row>
    <row r="6" spans="1:24" x14ac:dyDescent="0.35">
      <c r="A6" t="s">
        <v>7</v>
      </c>
      <c r="B6">
        <v>-16.59684824</v>
      </c>
      <c r="D6">
        <v>8.8699999999999994E-3</v>
      </c>
      <c r="E6">
        <v>47.137</v>
      </c>
      <c r="F6">
        <f t="shared" si="0"/>
        <v>-2.2397159721546468E-2</v>
      </c>
      <c r="G6">
        <f>(D6+F6)*27.211+B6</f>
        <v>-16.964935783183002</v>
      </c>
      <c r="H6" t="s">
        <v>1</v>
      </c>
      <c r="L6" t="s">
        <v>7</v>
      </c>
      <c r="M6">
        <v>-16.59684824</v>
      </c>
      <c r="O6">
        <v>8.8699999999999994E-3</v>
      </c>
      <c r="P6">
        <v>47.137</v>
      </c>
      <c r="Q6">
        <f t="shared" si="1"/>
        <v>-2.2397159721546468E-2</v>
      </c>
      <c r="R6">
        <f>(O6+Q6)*27.211+M6</f>
        <v>-16.964935783183002</v>
      </c>
      <c r="S6" t="s">
        <v>1</v>
      </c>
    </row>
    <row r="7" spans="1:24" x14ac:dyDescent="0.35">
      <c r="A7" t="s">
        <v>8</v>
      </c>
      <c r="B7">
        <v>-19.510745329999999</v>
      </c>
      <c r="D7">
        <v>3.7539000000000003E-2</v>
      </c>
      <c r="E7">
        <v>48.167999999999999</v>
      </c>
      <c r="F7">
        <f t="shared" si="0"/>
        <v>-2.2887039681512403E-2</v>
      </c>
      <c r="G7">
        <f>(D7+F7)*27.211+B7</f>
        <v>-19.112050837773634</v>
      </c>
      <c r="H7" t="s">
        <v>1</v>
      </c>
      <c r="L7" t="s">
        <v>8</v>
      </c>
      <c r="M7">
        <v>-19.510745329999999</v>
      </c>
      <c r="O7">
        <v>3.7539000000000003E-2</v>
      </c>
      <c r="P7">
        <v>48.167999999999999</v>
      </c>
      <c r="Q7">
        <f t="shared" si="1"/>
        <v>-2.2887039681512403E-2</v>
      </c>
      <c r="R7">
        <f>(O7+Q7)*27.211+M7</f>
        <v>-19.112050837773634</v>
      </c>
      <c r="S7" t="s">
        <v>1</v>
      </c>
    </row>
    <row r="8" spans="1:24" x14ac:dyDescent="0.35">
      <c r="A8" t="s">
        <v>9</v>
      </c>
    </row>
    <row r="9" spans="1:24" x14ac:dyDescent="0.35">
      <c r="A9" t="s">
        <v>10</v>
      </c>
      <c r="J9">
        <v>-241.52769932000001</v>
      </c>
      <c r="L9" t="s">
        <v>11</v>
      </c>
      <c r="M9">
        <v>-337.30010485999998</v>
      </c>
      <c r="U9">
        <f t="shared" ref="U9:U21" si="2">M9-Q9-(R9+S9)*298.15/1000/23.06+O9+P9/96.48+T9</f>
        <v>-337.30010485999998</v>
      </c>
    </row>
    <row r="10" spans="1:24" x14ac:dyDescent="0.35">
      <c r="A10" t="s">
        <v>12</v>
      </c>
      <c r="B10">
        <v>-255.37773824999999</v>
      </c>
      <c r="D10">
        <v>0.15505467749789623</v>
      </c>
      <c r="E10">
        <v>7.0099044848930596</v>
      </c>
      <c r="F10">
        <v>0.13399475203726385</v>
      </c>
      <c r="G10">
        <v>0</v>
      </c>
      <c r="H10">
        <v>0</v>
      </c>
      <c r="J10">
        <f t="shared" ref="J10:J23" si="3">B10-F10-(G10+H10)*298.15/1000/23.06+D10+E10/96.48+I10</f>
        <v>-255.28402176893309</v>
      </c>
      <c r="K10">
        <f t="shared" ref="K10:K21" si="4">J10-$J$10</f>
        <v>0</v>
      </c>
      <c r="L10" t="s">
        <v>13</v>
      </c>
      <c r="M10">
        <v>-350.91187724000002</v>
      </c>
      <c r="O10">
        <v>0.15505467749789623</v>
      </c>
      <c r="P10">
        <v>7.0099044848930632</v>
      </c>
      <c r="Q10">
        <v>0.13399475203726399</v>
      </c>
      <c r="R10">
        <v>0</v>
      </c>
      <c r="S10">
        <v>0</v>
      </c>
      <c r="U10">
        <f t="shared" si="2"/>
        <v>-350.81816075893312</v>
      </c>
      <c r="V10">
        <f t="shared" ref="V10:V21" si="5">U10-$U$10</f>
        <v>0</v>
      </c>
      <c r="W10">
        <f>U10-J9-8*R3</f>
        <v>-6.7396176472145015</v>
      </c>
      <c r="X10">
        <f>U10-U9-R3</f>
        <v>-0.69920042496831591</v>
      </c>
    </row>
    <row r="11" spans="1:24" x14ac:dyDescent="0.35">
      <c r="A11" t="s">
        <v>14</v>
      </c>
      <c r="B11">
        <v>-259.48336175999998</v>
      </c>
      <c r="D11">
        <v>0.47779048453565376</v>
      </c>
      <c r="E11">
        <v>5.7860608943110918</v>
      </c>
      <c r="F11">
        <v>9.419983349136922E-2</v>
      </c>
      <c r="J11">
        <f t="shared" si="3"/>
        <v>-259.03979949935461</v>
      </c>
      <c r="K11">
        <f>J11-$J$10</f>
        <v>-3.7557777304215278</v>
      </c>
      <c r="L11" t="s">
        <v>15</v>
      </c>
      <c r="M11">
        <v>-355.38834345999999</v>
      </c>
      <c r="O11">
        <v>0.47778093323167559</v>
      </c>
      <c r="P11">
        <v>5.8247953259910732</v>
      </c>
      <c r="Q11">
        <v>9.5002429529735463E-2</v>
      </c>
      <c r="U11">
        <f t="shared" si="2"/>
        <v>-354.9451918704151</v>
      </c>
      <c r="V11">
        <f t="shared" si="5"/>
        <v>-4.1270311114819833</v>
      </c>
      <c r="W11">
        <f>W10/8</f>
        <v>-0.84245220590181269</v>
      </c>
    </row>
    <row r="12" spans="1:24" x14ac:dyDescent="0.35">
      <c r="A12" t="s">
        <v>16</v>
      </c>
      <c r="B12">
        <v>-259.11276748</v>
      </c>
      <c r="D12">
        <v>0.43840423655699218</v>
      </c>
      <c r="E12">
        <v>8.9011384906960416</v>
      </c>
      <c r="F12">
        <v>0.2124533275510988</v>
      </c>
      <c r="J12">
        <f t="shared" si="3"/>
        <v>-258.79455767287328</v>
      </c>
      <c r="K12">
        <f>J12-$J$10</f>
        <v>-3.5105359039401947</v>
      </c>
      <c r="L12" t="s">
        <v>17</v>
      </c>
      <c r="M12">
        <v>-354.72326307999998</v>
      </c>
      <c r="O12">
        <v>0.45773569099909528</v>
      </c>
      <c r="P12">
        <v>7.4741282725342382</v>
      </c>
      <c r="Q12">
        <v>0.13973336190174901</v>
      </c>
      <c r="U12">
        <f t="shared" si="2"/>
        <v>-354.32779258887388</v>
      </c>
      <c r="V12">
        <f t="shared" si="5"/>
        <v>-3.5096318299407585</v>
      </c>
    </row>
    <row r="13" spans="1:24" x14ac:dyDescent="0.35">
      <c r="A13" t="s">
        <v>18</v>
      </c>
      <c r="B13">
        <v>-273.98511943</v>
      </c>
      <c r="D13">
        <v>1.0992660347758663</v>
      </c>
      <c r="E13">
        <v>15.196657366841677</v>
      </c>
      <c r="F13">
        <v>0.29833246201062008</v>
      </c>
      <c r="J13">
        <f t="shared" si="3"/>
        <v>-273.02667489779395</v>
      </c>
      <c r="L13" t="s">
        <v>19</v>
      </c>
      <c r="M13">
        <v>-369.94941412999998</v>
      </c>
      <c r="O13">
        <v>1.1236441412589344</v>
      </c>
      <c r="P13">
        <v>14.076845692381932</v>
      </c>
      <c r="Q13">
        <v>0.27683361636166398</v>
      </c>
      <c r="U13">
        <f t="shared" si="2"/>
        <v>-368.95669931724638</v>
      </c>
    </row>
    <row r="14" spans="1:24" x14ac:dyDescent="0.35">
      <c r="A14" t="s">
        <v>20</v>
      </c>
      <c r="B14">
        <v>-263.03632032000002</v>
      </c>
      <c r="D14">
        <v>0.777659191211029</v>
      </c>
      <c r="E14">
        <v>8.1654702611273944</v>
      </c>
      <c r="F14">
        <v>0.15818686795432799</v>
      </c>
      <c r="J14">
        <f t="shared" si="3"/>
        <v>-262.33221418392071</v>
      </c>
      <c r="K14">
        <f t="shared" si="4"/>
        <v>-7.0481924149876249</v>
      </c>
      <c r="L14" t="s">
        <v>21</v>
      </c>
      <c r="M14">
        <v>-359.03933992999998</v>
      </c>
      <c r="O14">
        <v>0.79298573730323529</v>
      </c>
      <c r="P14">
        <v>7.5696869783602594</v>
      </c>
      <c r="Q14">
        <v>0.13813641852131631</v>
      </c>
      <c r="U14">
        <f t="shared" si="2"/>
        <v>-358.30603199825828</v>
      </c>
      <c r="V14">
        <f t="shared" si="5"/>
        <v>-7.487871239325159</v>
      </c>
    </row>
    <row r="15" spans="1:24" x14ac:dyDescent="0.35">
      <c r="A15" t="s">
        <v>22</v>
      </c>
      <c r="B15">
        <v>-249.42266660999999</v>
      </c>
      <c r="D15">
        <v>6.7550811267039851E-2</v>
      </c>
      <c r="E15">
        <v>2.7687686637273399</v>
      </c>
      <c r="F15">
        <v>4.4264282278655531E-2</v>
      </c>
      <c r="J15">
        <f t="shared" si="3"/>
        <v>-249.37068223001941</v>
      </c>
      <c r="K15">
        <f t="shared" si="4"/>
        <v>5.9133395389136751</v>
      </c>
      <c r="L15" t="s">
        <v>23</v>
      </c>
      <c r="M15">
        <v>-344.88173198999999</v>
      </c>
      <c r="O15">
        <v>8.8918237348989293E-2</v>
      </c>
      <c r="P15">
        <v>2.1502720520989604</v>
      </c>
      <c r="Q15">
        <v>3.4705738509692032E-2</v>
      </c>
      <c r="U15">
        <f t="shared" si="2"/>
        <v>-344.80523226010655</v>
      </c>
      <c r="V15">
        <f t="shared" si="5"/>
        <v>6.0129284988265681</v>
      </c>
    </row>
    <row r="16" spans="1:24" x14ac:dyDescent="0.35">
      <c r="A16" t="s">
        <v>24</v>
      </c>
      <c r="B16">
        <v>-254.02183982</v>
      </c>
      <c r="D16">
        <v>0.3732978154887312</v>
      </c>
      <c r="E16">
        <v>3.2026781027398128</v>
      </c>
      <c r="F16">
        <v>4.9707210221922558E-2</v>
      </c>
      <c r="J16">
        <f t="shared" si="3"/>
        <v>-253.66505396076613</v>
      </c>
      <c r="K16">
        <f t="shared" si="4"/>
        <v>1.618967808166957</v>
      </c>
      <c r="L16" t="s">
        <v>25</v>
      </c>
      <c r="M16">
        <v>-349.85705267999998</v>
      </c>
      <c r="O16">
        <v>0.3732978154887312</v>
      </c>
      <c r="P16">
        <v>2.8651421590425494</v>
      </c>
      <c r="Q16">
        <v>4.3001883568746319E-2</v>
      </c>
      <c r="U16">
        <f t="shared" si="2"/>
        <v>-349.49706000099206</v>
      </c>
      <c r="V16">
        <f t="shared" si="5"/>
        <v>1.3211007579410534</v>
      </c>
    </row>
    <row r="17" spans="1:22" x14ac:dyDescent="0.35">
      <c r="A17" t="s">
        <v>26</v>
      </c>
      <c r="B17">
        <v>-257.97671814</v>
      </c>
      <c r="D17">
        <v>0.70222746873644726</v>
      </c>
      <c r="E17">
        <v>4.2971242017144125</v>
      </c>
      <c r="F17">
        <v>7.3415824232588217E-2</v>
      </c>
      <c r="J17">
        <f t="shared" si="3"/>
        <v>-257.30336748013843</v>
      </c>
      <c r="K17">
        <f t="shared" si="4"/>
        <v>-2.0193457112053466</v>
      </c>
      <c r="L17" t="s">
        <v>27</v>
      </c>
      <c r="M17">
        <v>-353.65386339000003</v>
      </c>
      <c r="O17">
        <v>0.69451739236714971</v>
      </c>
      <c r="P17">
        <v>4.3212511252938999</v>
      </c>
      <c r="Q17">
        <v>7.2191818143942557E-2</v>
      </c>
      <c r="U17">
        <f t="shared" si="2"/>
        <v>-352.98674872865723</v>
      </c>
      <c r="V17">
        <f t="shared" si="5"/>
        <v>-2.1685879697241148</v>
      </c>
    </row>
    <row r="18" spans="1:22" x14ac:dyDescent="0.35">
      <c r="A18" t="s">
        <v>28</v>
      </c>
      <c r="B18">
        <v>-261.95486377999998</v>
      </c>
      <c r="D18">
        <v>1.0069190534876098</v>
      </c>
      <c r="E18">
        <v>8.1854659129620728</v>
      </c>
      <c r="F18">
        <v>0.174684696523211</v>
      </c>
      <c r="G18">
        <v>0</v>
      </c>
      <c r="H18">
        <v>0</v>
      </c>
      <c r="J18">
        <f t="shared" si="3"/>
        <v>-261.03778835843195</v>
      </c>
      <c r="K18">
        <f t="shared" si="4"/>
        <v>-5.7537665894988663</v>
      </c>
      <c r="L18" t="s">
        <v>29</v>
      </c>
      <c r="M18">
        <v>-358.26478112000001</v>
      </c>
      <c r="O18">
        <v>1.0285416147714082</v>
      </c>
      <c r="P18">
        <v>6.8673660409556136</v>
      </c>
      <c r="Q18">
        <v>0.13148640614296603</v>
      </c>
      <c r="R18">
        <v>0</v>
      </c>
      <c r="S18">
        <v>0</v>
      </c>
      <c r="U18">
        <f t="shared" si="2"/>
        <v>-357.29654674428042</v>
      </c>
      <c r="V18">
        <f t="shared" si="5"/>
        <v>-6.4783859853473018</v>
      </c>
    </row>
    <row r="19" spans="1:22" x14ac:dyDescent="0.35">
      <c r="A19" t="s">
        <v>30</v>
      </c>
      <c r="B19">
        <v>-263.08740996</v>
      </c>
      <c r="D19">
        <v>0.24532479092163975</v>
      </c>
      <c r="E19">
        <v>9.7500637345150629</v>
      </c>
      <c r="F19">
        <v>0.19548160116295121</v>
      </c>
      <c r="J19">
        <f t="shared" si="3"/>
        <v>-262.93650889571273</v>
      </c>
      <c r="L19" t="s">
        <v>31</v>
      </c>
      <c r="M19">
        <v>-358.93200781000002</v>
      </c>
      <c r="O19">
        <v>0.27008033130576664</v>
      </c>
      <c r="P19">
        <v>8.3172979136493055</v>
      </c>
      <c r="Q19">
        <v>0.1460519523841603</v>
      </c>
      <c r="U19">
        <f t="shared" si="2"/>
        <v>-358.72177194855715</v>
      </c>
      <c r="V19">
        <f t="shared" si="5"/>
        <v>-7.90361118962403</v>
      </c>
    </row>
    <row r="20" spans="1:22" x14ac:dyDescent="0.35">
      <c r="A20" t="s">
        <v>32</v>
      </c>
      <c r="B20">
        <v>-263.13011351</v>
      </c>
      <c r="D20">
        <v>0.27334813678343922</v>
      </c>
      <c r="E20">
        <v>8.4491859271178384</v>
      </c>
      <c r="F20">
        <v>0.15750672453917861</v>
      </c>
      <c r="G20">
        <v>0</v>
      </c>
      <c r="H20">
        <v>0</v>
      </c>
      <c r="J20">
        <f t="shared" si="3"/>
        <v>-262.92669761675324</v>
      </c>
      <c r="K20">
        <f t="shared" si="4"/>
        <v>-7.6426758478201577</v>
      </c>
      <c r="L20" t="s">
        <v>33</v>
      </c>
      <c r="M20">
        <v>-359.13162879999999</v>
      </c>
      <c r="O20">
        <v>0.2804698386025723</v>
      </c>
      <c r="P20">
        <v>10.021470891509392</v>
      </c>
      <c r="Q20">
        <v>0.20791777793968205</v>
      </c>
      <c r="U20">
        <f t="shared" si="2"/>
        <v>-358.95520577238528</v>
      </c>
      <c r="V20">
        <f t="shared" si="5"/>
        <v>-8.1370450134521661</v>
      </c>
    </row>
    <row r="21" spans="1:22" x14ac:dyDescent="0.35">
      <c r="A21" t="s">
        <v>34</v>
      </c>
      <c r="B21">
        <v>-258.28487102999998</v>
      </c>
      <c r="D21">
        <v>0.16109182289209378</v>
      </c>
      <c r="E21">
        <v>8.8130485086405823</v>
      </c>
      <c r="F21">
        <v>0.26054861063088264</v>
      </c>
      <c r="G21">
        <f>35.908/3*2</f>
        <v>23.938666666666666</v>
      </c>
      <c r="H21">
        <f>11.229/3*2</f>
        <v>7.4859999999999998</v>
      </c>
      <c r="J21">
        <f t="shared" si="3"/>
        <v>-258.69928136719244</v>
      </c>
      <c r="K21">
        <f t="shared" si="4"/>
        <v>-3.4152595982593539</v>
      </c>
      <c r="L21" t="s">
        <v>35</v>
      </c>
      <c r="M21">
        <v>-354.16064318999997</v>
      </c>
      <c r="O21">
        <v>0.16109182289209378</v>
      </c>
      <c r="P21">
        <v>8.8130485086405823</v>
      </c>
      <c r="Q21">
        <v>0.26054861063088264</v>
      </c>
      <c r="R21">
        <f>35.908/3*2</f>
        <v>23.938666666666666</v>
      </c>
      <c r="S21">
        <f>11.229/3*2</f>
        <v>7.4859999999999998</v>
      </c>
      <c r="U21">
        <f t="shared" si="2"/>
        <v>-354.57505352719244</v>
      </c>
      <c r="V21">
        <f t="shared" si="5"/>
        <v>-3.7568927682593198</v>
      </c>
    </row>
    <row r="22" spans="1:22" x14ac:dyDescent="0.35">
      <c r="A22" t="s">
        <v>36</v>
      </c>
      <c r="B22">
        <v>-252.61809109000001</v>
      </c>
      <c r="D22">
        <v>0.3448885100566414</v>
      </c>
      <c r="E22">
        <v>5.0287846272888821</v>
      </c>
      <c r="F22">
        <v>9.0796078305553904E-2</v>
      </c>
      <c r="G22">
        <v>0</v>
      </c>
      <c r="H22">
        <v>0</v>
      </c>
      <c r="J22">
        <f t="shared" si="3"/>
        <v>-252.31187609784996</v>
      </c>
      <c r="L22" t="s">
        <v>37</v>
      </c>
      <c r="M22">
        <v>-348.40491333</v>
      </c>
      <c r="O22">
        <v>0.35038588074693039</v>
      </c>
      <c r="P22">
        <v>4.9020989112283591</v>
      </c>
      <c r="Q22">
        <v>8.9489882787561231E-2</v>
      </c>
      <c r="R22">
        <v>0</v>
      </c>
      <c r="S22">
        <v>0</v>
      </c>
      <c r="U22">
        <f>M22-Q22-(R22+S22)*298.15/1000/23.06+O22+P22/96.48+T22</f>
        <v>-348.0932078491299</v>
      </c>
    </row>
    <row r="23" spans="1:22" x14ac:dyDescent="0.35">
      <c r="A23" t="s">
        <v>38</v>
      </c>
      <c r="B23">
        <v>-256.21361753000002</v>
      </c>
      <c r="D23">
        <v>0.63296760977806121</v>
      </c>
      <c r="E23">
        <v>8.8172393689748212</v>
      </c>
      <c r="F23">
        <v>0.19068761140532295</v>
      </c>
      <c r="G23">
        <v>0</v>
      </c>
      <c r="H23">
        <v>0</v>
      </c>
      <c r="J23">
        <f t="shared" si="3"/>
        <v>-255.67994823468518</v>
      </c>
      <c r="L23" t="s">
        <v>38</v>
      </c>
      <c r="M23">
        <v>-352.29303474</v>
      </c>
      <c r="O23">
        <v>0.63296760977806121</v>
      </c>
      <c r="P23">
        <v>8.8172393689748212</v>
      </c>
      <c r="Q23">
        <v>0.19068761140532295</v>
      </c>
      <c r="R23">
        <v>0</v>
      </c>
      <c r="S23">
        <v>0</v>
      </c>
      <c r="U23">
        <f t="shared" ref="U23" si="6">M23-Q23-(R23+S23)*298.15/1000/23.06+O23+P23/96.48+T23</f>
        <v>-351.75936544468516</v>
      </c>
    </row>
    <row r="25" spans="1:22" x14ac:dyDescent="0.35">
      <c r="A25" t="s">
        <v>39</v>
      </c>
      <c r="B25" t="s">
        <v>40</v>
      </c>
      <c r="C25" t="s">
        <v>41</v>
      </c>
      <c r="E25">
        <v>1</v>
      </c>
      <c r="F25" s="2">
        <v>0</v>
      </c>
      <c r="L25" t="s">
        <v>39</v>
      </c>
      <c r="M25" t="s">
        <v>40</v>
      </c>
      <c r="N25" t="s">
        <v>41</v>
      </c>
      <c r="P25">
        <v>1</v>
      </c>
      <c r="Q25" s="2">
        <v>0</v>
      </c>
    </row>
    <row r="26" spans="1:22" x14ac:dyDescent="0.35">
      <c r="A26" t="s">
        <v>42</v>
      </c>
      <c r="B26">
        <f>J11-J10-0.5*G2</f>
        <v>-0.34929012659498859</v>
      </c>
      <c r="C26">
        <v>0.53</v>
      </c>
      <c r="D26" t="s">
        <v>43</v>
      </c>
      <c r="E26">
        <v>3</v>
      </c>
      <c r="F26" s="2">
        <f t="shared" ref="F26:F33" si="7">F25+B26</f>
        <v>-0.34929012659498859</v>
      </c>
      <c r="G26">
        <v>2</v>
      </c>
      <c r="H26">
        <f>F25+C26</f>
        <v>0.53</v>
      </c>
      <c r="L26" t="s">
        <v>42</v>
      </c>
      <c r="M26">
        <f>U11-U10-0.5*R2</f>
        <v>-0.72054350765544406</v>
      </c>
      <c r="N26">
        <v>0.54</v>
      </c>
      <c r="O26" t="s">
        <v>43</v>
      </c>
      <c r="P26">
        <v>3</v>
      </c>
      <c r="Q26" s="2">
        <f t="shared" ref="Q26:Q33" si="8">Q25+M26</f>
        <v>-0.72054350765544406</v>
      </c>
      <c r="R26">
        <v>2</v>
      </c>
      <c r="S26">
        <f>Q25+N26</f>
        <v>0.54</v>
      </c>
    </row>
    <row r="27" spans="1:22" x14ac:dyDescent="0.35">
      <c r="A27" t="s">
        <v>44</v>
      </c>
      <c r="B27">
        <f>J14-J11-0.5*G2</f>
        <v>0.11407291926044216</v>
      </c>
      <c r="C27">
        <v>0.84</v>
      </c>
      <c r="D27">
        <f>G4+J9+G7-5/2*G2-J10</f>
        <v>-2.2805518115562791</v>
      </c>
      <c r="E27">
        <v>5</v>
      </c>
      <c r="F27" s="2">
        <f t="shared" si="7"/>
        <v>-0.23521720733454643</v>
      </c>
      <c r="G27">
        <v>4</v>
      </c>
      <c r="H27">
        <f t="shared" ref="H27:H32" si="9">F26+C27</f>
        <v>0.49070987340501138</v>
      </c>
      <c r="L27" t="s">
        <v>44</v>
      </c>
      <c r="M27">
        <f>U14-U11-0.5*R2</f>
        <v>4.5647475983363606E-2</v>
      </c>
      <c r="N27">
        <v>0.5</v>
      </c>
      <c r="O27">
        <f>R4+U9+R7-5/2*R2-U10</f>
        <v>-2.518818361556157</v>
      </c>
      <c r="P27">
        <v>5</v>
      </c>
      <c r="Q27" s="2">
        <f t="shared" si="8"/>
        <v>-0.67489603167208045</v>
      </c>
      <c r="R27">
        <v>4</v>
      </c>
      <c r="S27">
        <f t="shared" ref="S27:S33" si="10">Q26+N27</f>
        <v>-0.22054350765544406</v>
      </c>
    </row>
    <row r="28" spans="1:22" x14ac:dyDescent="0.35">
      <c r="A28" s="3" t="s">
        <v>45</v>
      </c>
      <c r="B28">
        <f>J22+J16-J9-J14</f>
        <v>-2.1170165546953399</v>
      </c>
      <c r="C28">
        <v>0</v>
      </c>
      <c r="E28">
        <v>7</v>
      </c>
      <c r="F28" s="2">
        <f t="shared" si="7"/>
        <v>-2.3522337620298863</v>
      </c>
      <c r="G28">
        <v>6</v>
      </c>
      <c r="H28">
        <f t="shared" si="9"/>
        <v>-0.23521720733454643</v>
      </c>
      <c r="L28" s="3" t="s">
        <v>45</v>
      </c>
      <c r="M28">
        <f>U22+U16-U9-U14</f>
        <v>-1.9841309918637648</v>
      </c>
      <c r="N28">
        <v>0.25</v>
      </c>
      <c r="P28">
        <v>7</v>
      </c>
      <c r="Q28" s="2">
        <f t="shared" si="8"/>
        <v>-2.6590270235358453</v>
      </c>
      <c r="R28">
        <v>6</v>
      </c>
      <c r="S28">
        <f t="shared" si="10"/>
        <v>-0.42489603167208045</v>
      </c>
    </row>
    <row r="29" spans="1:22" x14ac:dyDescent="0.35">
      <c r="A29" t="s">
        <v>46</v>
      </c>
      <c r="B29">
        <f>J23-J22-0.5*G2</f>
        <v>3.8415466991315483E-2</v>
      </c>
      <c r="C29">
        <v>0.52</v>
      </c>
      <c r="E29">
        <v>9</v>
      </c>
      <c r="F29" s="2">
        <f t="shared" si="7"/>
        <v>-2.3138182950385708</v>
      </c>
      <c r="G29">
        <v>8</v>
      </c>
      <c r="H29">
        <f t="shared" si="9"/>
        <v>-1.8322337620298863</v>
      </c>
      <c r="L29" t="s">
        <v>46</v>
      </c>
      <c r="M29">
        <f>U23-U22-0.5*R2</f>
        <v>-0.25966999172872285</v>
      </c>
      <c r="N29">
        <v>0.52</v>
      </c>
      <c r="P29">
        <v>9</v>
      </c>
      <c r="Q29" s="2">
        <f t="shared" si="8"/>
        <v>-2.9186970152645682</v>
      </c>
      <c r="R29">
        <v>8</v>
      </c>
      <c r="S29">
        <f t="shared" si="10"/>
        <v>-2.1390270235358453</v>
      </c>
    </row>
    <row r="30" spans="1:22" x14ac:dyDescent="0.35">
      <c r="A30" t="s">
        <v>47</v>
      </c>
      <c r="B30">
        <f>G4+J9-J23</f>
        <v>0.19498747283674334</v>
      </c>
      <c r="C30">
        <v>0</v>
      </c>
      <c r="E30">
        <v>11</v>
      </c>
      <c r="F30" s="2">
        <f t="shared" si="7"/>
        <v>-2.1188308222018275</v>
      </c>
      <c r="G30">
        <v>10</v>
      </c>
      <c r="H30">
        <f t="shared" si="9"/>
        <v>-2.3138182950385708</v>
      </c>
      <c r="L30" t="s">
        <v>47</v>
      </c>
      <c r="M30">
        <f>R4+U9-U23</f>
        <v>0.50199914283678027</v>
      </c>
      <c r="N30">
        <v>0</v>
      </c>
      <c r="P30">
        <v>11</v>
      </c>
      <c r="Q30" s="2">
        <f t="shared" si="8"/>
        <v>-2.4166978724277879</v>
      </c>
      <c r="R30">
        <v>10</v>
      </c>
      <c r="S30">
        <f t="shared" si="10"/>
        <v>-2.9186970152645682</v>
      </c>
    </row>
    <row r="31" spans="1:22" x14ac:dyDescent="0.35">
      <c r="A31" t="s">
        <v>48</v>
      </c>
      <c r="B31">
        <f>J17-J16-0.5*G2</f>
        <v>-0.23182591554576426</v>
      </c>
      <c r="C31">
        <v>0.49</v>
      </c>
      <c r="E31">
        <v>13</v>
      </c>
      <c r="F31" s="2">
        <f t="shared" si="7"/>
        <v>-2.3506567377475918</v>
      </c>
      <c r="G31">
        <v>12</v>
      </c>
      <c r="H31">
        <f t="shared" si="9"/>
        <v>-1.6288308222018275</v>
      </c>
      <c r="L31" t="s">
        <v>48</v>
      </c>
      <c r="M31">
        <f>U17-U16-0.5*R2</f>
        <v>-8.3201123838628988E-2</v>
      </c>
      <c r="N31">
        <v>0.93</v>
      </c>
      <c r="P31">
        <v>13</v>
      </c>
      <c r="Q31" s="2">
        <f t="shared" si="8"/>
        <v>-2.4998989962664169</v>
      </c>
      <c r="R31">
        <v>12</v>
      </c>
      <c r="S31">
        <f t="shared" si="10"/>
        <v>-1.4866978724277877</v>
      </c>
    </row>
    <row r="32" spans="1:22" x14ac:dyDescent="0.35">
      <c r="A32" t="s">
        <v>49</v>
      </c>
      <c r="B32">
        <f>J18-J17-0.5*G2</f>
        <v>-0.32793327446698051</v>
      </c>
      <c r="C32">
        <v>0.41</v>
      </c>
      <c r="D32">
        <f>SUM(B26:B33)</f>
        <v>-2.2805518115562382</v>
      </c>
      <c r="E32">
        <v>15</v>
      </c>
      <c r="F32" s="2">
        <f t="shared" si="7"/>
        <v>-2.6785900122145723</v>
      </c>
      <c r="G32">
        <v>14</v>
      </c>
      <c r="H32">
        <f t="shared" si="9"/>
        <v>-1.9406567377475918</v>
      </c>
      <c r="L32" t="s">
        <v>49</v>
      </c>
      <c r="M32">
        <f>U18-U17-0.5*R2</f>
        <v>-0.90331041179664773</v>
      </c>
      <c r="N32">
        <v>0.15</v>
      </c>
      <c r="O32">
        <f>SUM(M26:M33)</f>
        <v>-2.5188183615562298</v>
      </c>
      <c r="P32">
        <v>15</v>
      </c>
      <c r="Q32" s="2">
        <f t="shared" si="8"/>
        <v>-3.4032094080630646</v>
      </c>
      <c r="R32">
        <v>14</v>
      </c>
      <c r="S32">
        <f t="shared" si="10"/>
        <v>-2.349898996266417</v>
      </c>
    </row>
    <row r="33" spans="1:19" x14ac:dyDescent="0.35">
      <c r="A33" t="s">
        <v>50</v>
      </c>
      <c r="B33">
        <f>J9+G7-J18</f>
        <v>0.39803820065833406</v>
      </c>
      <c r="C33">
        <v>0</v>
      </c>
      <c r="E33">
        <v>17</v>
      </c>
      <c r="F33" s="2">
        <f t="shared" si="7"/>
        <v>-2.2805518115562382</v>
      </c>
      <c r="G33">
        <v>16</v>
      </c>
      <c r="H33" s="2">
        <f>F32+C33</f>
        <v>-2.6785900122145723</v>
      </c>
      <c r="L33" t="s">
        <v>50</v>
      </c>
      <c r="M33">
        <f>U9+R7-U18</f>
        <v>0.88439104650683475</v>
      </c>
      <c r="N33">
        <v>0</v>
      </c>
      <c r="P33">
        <v>17</v>
      </c>
      <c r="Q33" s="2">
        <f t="shared" si="8"/>
        <v>-2.5188183615562298</v>
      </c>
      <c r="R33">
        <v>16</v>
      </c>
      <c r="S33">
        <f t="shared" si="10"/>
        <v>-3.4032094080630646</v>
      </c>
    </row>
    <row r="34" spans="1:19" x14ac:dyDescent="0.35">
      <c r="E34">
        <v>1</v>
      </c>
      <c r="F34" s="2">
        <v>0</v>
      </c>
      <c r="P34">
        <v>1</v>
      </c>
      <c r="Q34" s="2">
        <v>0</v>
      </c>
    </row>
    <row r="35" spans="1:19" x14ac:dyDescent="0.35">
      <c r="A35" t="s">
        <v>51</v>
      </c>
      <c r="B35">
        <f>J13-J10-0.5*G2-G4</f>
        <v>-0.37890408318590474</v>
      </c>
      <c r="C35">
        <v>0.72</v>
      </c>
      <c r="D35" t="s">
        <v>43</v>
      </c>
      <c r="E35">
        <v>3</v>
      </c>
      <c r="F35" s="2">
        <f t="shared" ref="F35:F43" si="11">F34+B35</f>
        <v>-0.37890408318590474</v>
      </c>
      <c r="G35">
        <v>2</v>
      </c>
      <c r="H35">
        <f>F34+C35</f>
        <v>0.72</v>
      </c>
      <c r="L35" t="s">
        <v>51</v>
      </c>
      <c r="M35">
        <f>U13-U10-0.5*R2-R4</f>
        <v>-0.77478951263829643</v>
      </c>
      <c r="N35">
        <v>0.71</v>
      </c>
      <c r="O35" t="s">
        <v>43</v>
      </c>
      <c r="P35">
        <v>3</v>
      </c>
      <c r="Q35" s="2">
        <f t="shared" ref="Q35:Q43" si="12">Q34+M35</f>
        <v>-0.77478951263829643</v>
      </c>
      <c r="R35">
        <v>2</v>
      </c>
      <c r="S35">
        <f>Q34+N35</f>
        <v>0.71</v>
      </c>
    </row>
    <row r="36" spans="1:19" x14ac:dyDescent="0.35">
      <c r="A36" t="s">
        <v>52</v>
      </c>
      <c r="B36">
        <f>J12+G4-J13</f>
        <v>0.27485578307226888</v>
      </c>
      <c r="C36">
        <v>0</v>
      </c>
      <c r="E36">
        <v>5</v>
      </c>
      <c r="F36" s="2">
        <f t="shared" si="11"/>
        <v>-0.10404830011363586</v>
      </c>
      <c r="G36">
        <v>4</v>
      </c>
      <c r="H36">
        <f t="shared" ref="H36:H43" si="13">F35+C36</f>
        <v>-0.37890408318590474</v>
      </c>
      <c r="L36" t="s">
        <v>52</v>
      </c>
      <c r="M36">
        <f>U12+R4-U13</f>
        <v>0.67164528652409672</v>
      </c>
      <c r="P36">
        <v>5</v>
      </c>
      <c r="Q36" s="2">
        <f t="shared" si="12"/>
        <v>-0.10314422611419971</v>
      </c>
      <c r="R36">
        <v>4</v>
      </c>
      <c r="S36">
        <f t="shared" ref="S36:S43" si="14">Q35+N36</f>
        <v>-0.77478951263829643</v>
      </c>
    </row>
    <row r="37" spans="1:19" x14ac:dyDescent="0.35">
      <c r="A37" t="s">
        <v>53</v>
      </c>
      <c r="B37">
        <f>J14-J12-0.5*G2</f>
        <v>-0.13116890722089103</v>
      </c>
      <c r="C37">
        <v>0.95</v>
      </c>
      <c r="D37">
        <f>G4+J9+G7-5/2*G2-J10</f>
        <v>-2.2805518115562791</v>
      </c>
      <c r="E37">
        <v>7</v>
      </c>
      <c r="F37" s="2">
        <f t="shared" si="11"/>
        <v>-0.23521720733452689</v>
      </c>
      <c r="G37">
        <v>6</v>
      </c>
      <c r="H37">
        <f t="shared" si="13"/>
        <v>0.84595169988636409</v>
      </c>
      <c r="L37" t="s">
        <v>53</v>
      </c>
      <c r="M37">
        <f>U14-U12-0.5*R2</f>
        <v>-0.5717518055578612</v>
      </c>
      <c r="N37">
        <v>0.62</v>
      </c>
      <c r="O37">
        <f>R4+U9+R7-5/2*R2-U10</f>
        <v>-2.518818361556157</v>
      </c>
      <c r="P37">
        <v>7</v>
      </c>
      <c r="Q37" s="2">
        <f t="shared" si="12"/>
        <v>-0.67489603167206091</v>
      </c>
      <c r="R37">
        <v>6</v>
      </c>
      <c r="S37">
        <f t="shared" si="14"/>
        <v>0.51685577388580028</v>
      </c>
    </row>
    <row r="38" spans="1:19" x14ac:dyDescent="0.35">
      <c r="A38" s="3" t="s">
        <v>45</v>
      </c>
      <c r="B38">
        <f>J22+J16-J9-J14</f>
        <v>-2.1170165546953399</v>
      </c>
      <c r="C38">
        <v>0</v>
      </c>
      <c r="E38">
        <v>9</v>
      </c>
      <c r="F38" s="2">
        <f t="shared" si="11"/>
        <v>-2.3522337620298668</v>
      </c>
      <c r="G38">
        <v>8</v>
      </c>
      <c r="H38">
        <f t="shared" si="13"/>
        <v>-0.23521720733452689</v>
      </c>
      <c r="L38" s="3" t="s">
        <v>45</v>
      </c>
      <c r="M38">
        <f>U22+U16-U9-U14</f>
        <v>-1.9841309918637648</v>
      </c>
      <c r="N38">
        <v>0.25</v>
      </c>
      <c r="P38">
        <v>9</v>
      </c>
      <c r="Q38" s="2">
        <f t="shared" si="12"/>
        <v>-2.6590270235358258</v>
      </c>
      <c r="R38">
        <v>8</v>
      </c>
      <c r="S38">
        <f t="shared" si="14"/>
        <v>-0.42489603167206091</v>
      </c>
    </row>
    <row r="39" spans="1:19" x14ac:dyDescent="0.35">
      <c r="A39" t="s">
        <v>46</v>
      </c>
      <c r="B39">
        <f>J23-J22-0.5*G2</f>
        <v>3.8415466991315483E-2</v>
      </c>
      <c r="C39">
        <v>0.52</v>
      </c>
      <c r="E39">
        <v>11</v>
      </c>
      <c r="F39" s="2">
        <f t="shared" si="11"/>
        <v>-2.3138182950385513</v>
      </c>
      <c r="G39">
        <v>10</v>
      </c>
      <c r="H39">
        <f t="shared" si="13"/>
        <v>-1.8322337620298668</v>
      </c>
      <c r="L39" t="s">
        <v>46</v>
      </c>
      <c r="M39">
        <f>U23-U22-0.5*R2</f>
        <v>-0.25966999172872285</v>
      </c>
      <c r="N39">
        <v>0.52</v>
      </c>
      <c r="P39">
        <v>11</v>
      </c>
      <c r="Q39" s="2">
        <f t="shared" si="12"/>
        <v>-2.9186970152645486</v>
      </c>
      <c r="R39">
        <v>10</v>
      </c>
      <c r="S39">
        <f t="shared" si="14"/>
        <v>-2.1390270235358257</v>
      </c>
    </row>
    <row r="40" spans="1:19" x14ac:dyDescent="0.35">
      <c r="A40" t="s">
        <v>47</v>
      </c>
      <c r="B40">
        <f>G4+J9-J23</f>
        <v>0.19498747283674334</v>
      </c>
      <c r="C40">
        <v>0</v>
      </c>
      <c r="E40">
        <v>13</v>
      </c>
      <c r="F40" s="2">
        <f t="shared" si="11"/>
        <v>-2.118830822201808</v>
      </c>
      <c r="G40">
        <v>12</v>
      </c>
      <c r="H40">
        <f t="shared" si="13"/>
        <v>-2.3138182950385513</v>
      </c>
      <c r="L40" t="s">
        <v>47</v>
      </c>
      <c r="M40">
        <f>R4+U9-U23</f>
        <v>0.50199914283678027</v>
      </c>
      <c r="N40">
        <v>0</v>
      </c>
      <c r="P40">
        <v>13</v>
      </c>
      <c r="Q40" s="2">
        <f t="shared" si="12"/>
        <v>-2.4166978724277683</v>
      </c>
      <c r="R40">
        <v>12</v>
      </c>
      <c r="S40">
        <f t="shared" si="14"/>
        <v>-2.9186970152645486</v>
      </c>
    </row>
    <row r="41" spans="1:19" x14ac:dyDescent="0.35">
      <c r="A41" t="s">
        <v>48</v>
      </c>
      <c r="B41">
        <f>J17-J16-0.5*G2</f>
        <v>-0.23182591554576426</v>
      </c>
      <c r="C41">
        <v>0.49</v>
      </c>
      <c r="E41">
        <v>15</v>
      </c>
      <c r="F41" s="2">
        <f t="shared" si="11"/>
        <v>-2.3506567377475722</v>
      </c>
      <c r="G41">
        <v>14</v>
      </c>
      <c r="H41">
        <f t="shared" si="13"/>
        <v>-1.628830822201808</v>
      </c>
      <c r="L41" t="s">
        <v>48</v>
      </c>
      <c r="M41">
        <f>U17-U16-0.5*R2</f>
        <v>-8.3201123838628988E-2</v>
      </c>
      <c r="N41">
        <v>0.93</v>
      </c>
      <c r="P41">
        <v>15</v>
      </c>
      <c r="Q41" s="2">
        <f t="shared" si="12"/>
        <v>-2.4998989962663973</v>
      </c>
      <c r="R41">
        <v>14</v>
      </c>
      <c r="S41">
        <f t="shared" si="14"/>
        <v>-1.4866978724277682</v>
      </c>
    </row>
    <row r="42" spans="1:19" x14ac:dyDescent="0.35">
      <c r="A42" t="s">
        <v>49</v>
      </c>
      <c r="B42">
        <f>J18-J17-0.5*G2</f>
        <v>-0.32793327446698051</v>
      </c>
      <c r="C42">
        <v>0.41</v>
      </c>
      <c r="D42">
        <f>SUM(B35:B43)</f>
        <v>-2.2805518115562187</v>
      </c>
      <c r="E42">
        <v>17</v>
      </c>
      <c r="F42" s="2">
        <f t="shared" si="11"/>
        <v>-2.6785900122145527</v>
      </c>
      <c r="G42">
        <v>16</v>
      </c>
      <c r="H42">
        <f t="shared" si="13"/>
        <v>-1.9406567377475723</v>
      </c>
      <c r="L42" t="s">
        <v>49</v>
      </c>
      <c r="M42">
        <f>U18-U17-0.5*R2</f>
        <v>-0.90331041179664773</v>
      </c>
      <c r="N42">
        <v>0.15</v>
      </c>
      <c r="O42">
        <f>SUM(M35:M43)</f>
        <v>-2.5188183615562103</v>
      </c>
      <c r="P42">
        <v>17</v>
      </c>
      <c r="Q42" s="2">
        <f t="shared" si="12"/>
        <v>-3.4032094080630451</v>
      </c>
      <c r="R42">
        <v>16</v>
      </c>
      <c r="S42">
        <f t="shared" si="14"/>
        <v>-2.3498989962663974</v>
      </c>
    </row>
    <row r="43" spans="1:19" x14ac:dyDescent="0.35">
      <c r="A43" t="s">
        <v>50</v>
      </c>
      <c r="B43">
        <f>J9+G7-J18</f>
        <v>0.39803820065833406</v>
      </c>
      <c r="C43">
        <v>0</v>
      </c>
      <c r="E43">
        <v>19</v>
      </c>
      <c r="F43" s="2">
        <f t="shared" si="11"/>
        <v>-2.2805518115562187</v>
      </c>
      <c r="G43">
        <v>18</v>
      </c>
      <c r="H43">
        <f t="shared" si="13"/>
        <v>-2.6785900122145527</v>
      </c>
      <c r="L43" t="s">
        <v>50</v>
      </c>
      <c r="M43">
        <f>U9+R7-U18</f>
        <v>0.88439104650683475</v>
      </c>
      <c r="N43">
        <v>0</v>
      </c>
      <c r="P43">
        <v>19</v>
      </c>
      <c r="Q43" s="2">
        <f t="shared" si="12"/>
        <v>-2.5188183615562103</v>
      </c>
      <c r="R43">
        <v>18</v>
      </c>
      <c r="S43">
        <f t="shared" si="14"/>
        <v>-3.4032094080630451</v>
      </c>
    </row>
    <row r="44" spans="1:19" x14ac:dyDescent="0.35">
      <c r="E44">
        <v>1</v>
      </c>
      <c r="F44" s="2">
        <v>0</v>
      </c>
      <c r="P44">
        <v>1</v>
      </c>
      <c r="Q44" s="2">
        <v>0</v>
      </c>
    </row>
    <row r="45" spans="1:19" x14ac:dyDescent="0.35">
      <c r="A45" t="s">
        <v>51</v>
      </c>
      <c r="B45">
        <f>J13-J10-0.5*G2-G4</f>
        <v>-0.37890408318590474</v>
      </c>
      <c r="C45">
        <v>0.72</v>
      </c>
      <c r="D45" t="s">
        <v>43</v>
      </c>
      <c r="E45">
        <v>3</v>
      </c>
      <c r="F45" s="2">
        <f t="shared" ref="F45:F52" si="15">F44+B45</f>
        <v>-0.37890408318590474</v>
      </c>
      <c r="G45">
        <v>2</v>
      </c>
      <c r="H45">
        <f>F44+C45</f>
        <v>0.72</v>
      </c>
      <c r="L45" t="s">
        <v>51</v>
      </c>
      <c r="M45">
        <f>U13-U10-0.5*R2-R4</f>
        <v>-0.77478951263829643</v>
      </c>
      <c r="N45">
        <v>0.71</v>
      </c>
      <c r="O45" t="s">
        <v>43</v>
      </c>
      <c r="P45">
        <v>3</v>
      </c>
      <c r="Q45" s="2">
        <f t="shared" ref="Q45:Q52" si="16">Q44+M45</f>
        <v>-0.77478951263829643</v>
      </c>
      <c r="R45">
        <v>2</v>
      </c>
      <c r="S45">
        <f>Q44+N45</f>
        <v>0.71</v>
      </c>
    </row>
    <row r="46" spans="1:19" x14ac:dyDescent="0.35">
      <c r="A46" t="s">
        <v>52</v>
      </c>
      <c r="B46">
        <f>J12+G4-J13</f>
        <v>0.27485578307226888</v>
      </c>
      <c r="C46">
        <v>0</v>
      </c>
      <c r="E46">
        <v>5</v>
      </c>
      <c r="F46" s="2">
        <f t="shared" si="15"/>
        <v>-0.10404830011363586</v>
      </c>
      <c r="G46">
        <v>4</v>
      </c>
      <c r="H46">
        <f t="shared" ref="H46:H52" si="17">F45+C46</f>
        <v>-0.37890408318590474</v>
      </c>
      <c r="L46" t="s">
        <v>52</v>
      </c>
      <c r="M46">
        <f>U12+R4-U13</f>
        <v>0.67164528652409672</v>
      </c>
      <c r="P46">
        <v>5</v>
      </c>
      <c r="Q46" s="2">
        <f t="shared" si="16"/>
        <v>-0.10314422611419971</v>
      </c>
      <c r="R46">
        <v>4</v>
      </c>
      <c r="S46">
        <f t="shared" ref="S46:S52" si="18">Q45+N46</f>
        <v>-0.77478951263829643</v>
      </c>
    </row>
    <row r="47" spans="1:19" x14ac:dyDescent="0.35">
      <c r="A47" t="s">
        <v>54</v>
      </c>
      <c r="B47">
        <f>J23+J15-J12-0.5*G2-J9</f>
        <v>-1.3218858680047276</v>
      </c>
      <c r="C47">
        <v>0.19</v>
      </c>
      <c r="D47">
        <f>G4+J9+G7-5/2*G2-J10</f>
        <v>-2.2805518115562791</v>
      </c>
      <c r="E47">
        <v>7</v>
      </c>
      <c r="F47" s="2">
        <f t="shared" si="15"/>
        <v>-1.4259341681183635</v>
      </c>
      <c r="G47">
        <v>6</v>
      </c>
      <c r="H47">
        <f t="shared" si="17"/>
        <v>8.5951699886364141E-2</v>
      </c>
      <c r="L47" t="s">
        <v>54</v>
      </c>
      <c r="M47">
        <f>U23+U15-U12-0.5*R2-U9</f>
        <v>-1.5302126520913362</v>
      </c>
      <c r="N47">
        <v>0.99</v>
      </c>
      <c r="O47">
        <f>R4+U9+R7-5/2*R2-U10</f>
        <v>-2.518818361556157</v>
      </c>
      <c r="P47">
        <v>7</v>
      </c>
      <c r="Q47" s="2">
        <f t="shared" si="16"/>
        <v>-1.6333568782055359</v>
      </c>
      <c r="R47">
        <v>6</v>
      </c>
      <c r="S47">
        <f t="shared" si="18"/>
        <v>0.88685577388580028</v>
      </c>
    </row>
    <row r="48" spans="1:19" x14ac:dyDescent="0.35">
      <c r="A48" t="s">
        <v>47</v>
      </c>
      <c r="B48">
        <f>G4+J9-J23</f>
        <v>0.19498747283674334</v>
      </c>
      <c r="C48">
        <v>0</v>
      </c>
      <c r="E48">
        <v>9</v>
      </c>
      <c r="F48" s="2">
        <f t="shared" si="15"/>
        <v>-1.2309466952816202</v>
      </c>
      <c r="G48">
        <v>8</v>
      </c>
      <c r="H48">
        <f t="shared" si="17"/>
        <v>-1.4259341681183635</v>
      </c>
      <c r="L48" t="s">
        <v>47</v>
      </c>
      <c r="M48">
        <f>R4+U9-U23</f>
        <v>0.50199914283678027</v>
      </c>
      <c r="N48">
        <v>0</v>
      </c>
      <c r="P48">
        <v>9</v>
      </c>
      <c r="Q48" s="2">
        <f t="shared" si="16"/>
        <v>-1.1313577353687556</v>
      </c>
      <c r="R48">
        <v>8</v>
      </c>
      <c r="S48">
        <f t="shared" si="18"/>
        <v>-1.6333568782055359</v>
      </c>
    </row>
    <row r="49" spans="1:19" x14ac:dyDescent="0.35">
      <c r="A49" t="s">
        <v>55</v>
      </c>
      <c r="B49">
        <f>J16-0.5*G2-J15</f>
        <v>-0.88788412692017005</v>
      </c>
      <c r="C49">
        <v>0.23</v>
      </c>
      <c r="E49">
        <v>11</v>
      </c>
      <c r="F49" s="2">
        <f t="shared" si="15"/>
        <v>-2.1188308222017902</v>
      </c>
      <c r="G49">
        <v>10</v>
      </c>
      <c r="H49">
        <f t="shared" si="17"/>
        <v>-1.0009466952816202</v>
      </c>
      <c r="L49" t="s">
        <v>55</v>
      </c>
      <c r="M49">
        <f>U16-0.5*R2-U15</f>
        <v>-1.285340137058995</v>
      </c>
      <c r="N49">
        <v>0.73</v>
      </c>
      <c r="P49">
        <v>11</v>
      </c>
      <c r="Q49" s="2">
        <f t="shared" si="16"/>
        <v>-2.4166978724277506</v>
      </c>
      <c r="R49">
        <v>10</v>
      </c>
      <c r="S49">
        <f t="shared" si="18"/>
        <v>-0.40135773536875563</v>
      </c>
    </row>
    <row r="50" spans="1:19" x14ac:dyDescent="0.35">
      <c r="A50" t="s">
        <v>48</v>
      </c>
      <c r="B50">
        <f>J17-J16-0.5*G2</f>
        <v>-0.23182591554576426</v>
      </c>
      <c r="C50">
        <v>0.49</v>
      </c>
      <c r="E50">
        <v>13</v>
      </c>
      <c r="F50" s="2">
        <f t="shared" si="15"/>
        <v>-2.3506567377475545</v>
      </c>
      <c r="G50">
        <v>12</v>
      </c>
      <c r="H50">
        <f t="shared" si="17"/>
        <v>-1.6288308222017902</v>
      </c>
      <c r="L50" t="s">
        <v>48</v>
      </c>
      <c r="M50">
        <f>U17-U16-0.5*R2</f>
        <v>-8.3201123838628988E-2</v>
      </c>
      <c r="N50">
        <v>0.93</v>
      </c>
      <c r="P50">
        <v>13</v>
      </c>
      <c r="Q50" s="2">
        <f t="shared" si="16"/>
        <v>-2.4998989962663796</v>
      </c>
      <c r="R50">
        <v>12</v>
      </c>
      <c r="S50">
        <f t="shared" si="18"/>
        <v>-1.4866978724277504</v>
      </c>
    </row>
    <row r="51" spans="1:19" x14ac:dyDescent="0.35">
      <c r="A51" t="s">
        <v>49</v>
      </c>
      <c r="B51">
        <f>J18-J17-0.5*G2</f>
        <v>-0.32793327446698051</v>
      </c>
      <c r="C51">
        <v>0.41</v>
      </c>
      <c r="E51">
        <v>15</v>
      </c>
      <c r="F51" s="2">
        <f t="shared" si="15"/>
        <v>-2.678590012214535</v>
      </c>
      <c r="G51">
        <v>14</v>
      </c>
      <c r="H51">
        <f t="shared" si="17"/>
        <v>-1.9406567377475545</v>
      </c>
      <c r="L51" t="s">
        <v>49</v>
      </c>
      <c r="M51">
        <f>U18-U17-0.5*R2</f>
        <v>-0.90331041179664773</v>
      </c>
      <c r="N51">
        <v>0.15</v>
      </c>
      <c r="P51">
        <v>15</v>
      </c>
      <c r="Q51" s="2">
        <f t="shared" si="16"/>
        <v>-3.4032094080630273</v>
      </c>
      <c r="R51">
        <v>14</v>
      </c>
      <c r="S51">
        <f t="shared" si="18"/>
        <v>-2.3498989962663797</v>
      </c>
    </row>
    <row r="52" spans="1:19" x14ac:dyDescent="0.35">
      <c r="A52" t="s">
        <v>50</v>
      </c>
      <c r="B52">
        <f>J9+G7-J18</f>
        <v>0.39803820065833406</v>
      </c>
      <c r="C52">
        <v>0</v>
      </c>
      <c r="D52">
        <f>SUM(B45:B52)</f>
        <v>-2.2805518115562009</v>
      </c>
      <c r="E52">
        <v>17</v>
      </c>
      <c r="F52" s="2">
        <f t="shared" si="15"/>
        <v>-2.2805518115562009</v>
      </c>
      <c r="G52">
        <v>16</v>
      </c>
      <c r="H52">
        <f t="shared" si="17"/>
        <v>-2.678590012214535</v>
      </c>
      <c r="L52" t="s">
        <v>50</v>
      </c>
      <c r="M52">
        <f>U9+R7-U18</f>
        <v>0.88439104650683475</v>
      </c>
      <c r="N52">
        <v>0</v>
      </c>
      <c r="O52">
        <f>SUM(M45:M52)</f>
        <v>-2.5188183615561925</v>
      </c>
      <c r="P52">
        <v>17</v>
      </c>
      <c r="Q52" s="2">
        <f t="shared" si="16"/>
        <v>-2.5188183615561925</v>
      </c>
      <c r="R52">
        <v>16</v>
      </c>
      <c r="S52">
        <f t="shared" si="18"/>
        <v>-3.4032094080630273</v>
      </c>
    </row>
    <row r="53" spans="1:19" x14ac:dyDescent="0.35">
      <c r="E53">
        <v>1</v>
      </c>
      <c r="F53" s="2">
        <v>0</v>
      </c>
      <c r="P53">
        <v>1</v>
      </c>
      <c r="Q53" s="2">
        <v>0</v>
      </c>
    </row>
    <row r="54" spans="1:19" x14ac:dyDescent="0.35">
      <c r="A54" t="s">
        <v>51</v>
      </c>
      <c r="B54">
        <f>J13-J10-0.5*G2-G4</f>
        <v>-0.37890408318590474</v>
      </c>
      <c r="C54">
        <v>0.72</v>
      </c>
      <c r="D54" t="s">
        <v>56</v>
      </c>
      <c r="E54">
        <v>3</v>
      </c>
      <c r="F54" s="2">
        <f>F53+B54</f>
        <v>-0.37890408318590474</v>
      </c>
      <c r="G54">
        <v>2</v>
      </c>
      <c r="H54">
        <f>F53+C54</f>
        <v>0.72</v>
      </c>
      <c r="L54" t="s">
        <v>51</v>
      </c>
      <c r="M54">
        <f>U13-U10-0.5*R2-R4</f>
        <v>-0.77478951263829643</v>
      </c>
      <c r="N54">
        <v>0.71</v>
      </c>
      <c r="O54" t="s">
        <v>56</v>
      </c>
      <c r="P54">
        <v>3</v>
      </c>
      <c r="Q54" s="2">
        <f>Q53+M54</f>
        <v>-0.77478951263829643</v>
      </c>
      <c r="R54">
        <v>2</v>
      </c>
      <c r="S54">
        <f>Q53+N54</f>
        <v>0.71</v>
      </c>
    </row>
    <row r="55" spans="1:19" x14ac:dyDescent="0.35">
      <c r="A55" t="s">
        <v>52</v>
      </c>
      <c r="B55">
        <f>J12+G4-J13</f>
        <v>0.27485578307226888</v>
      </c>
      <c r="C55">
        <v>0</v>
      </c>
      <c r="E55">
        <v>5</v>
      </c>
      <c r="F55" s="2">
        <f t="shared" ref="F55:F59" si="19">F54+B55</f>
        <v>-0.10404830011363586</v>
      </c>
      <c r="G55">
        <v>4</v>
      </c>
      <c r="H55">
        <f t="shared" ref="H55:H59" si="20">F54+C55</f>
        <v>-0.37890408318590474</v>
      </c>
      <c r="L55" t="s">
        <v>52</v>
      </c>
      <c r="M55">
        <f>U12+R4-U13</f>
        <v>0.67164528652409672</v>
      </c>
      <c r="P55">
        <v>5</v>
      </c>
      <c r="Q55" s="2">
        <f t="shared" ref="Q55:Q59" si="21">Q54+M55</f>
        <v>-0.10314422611419971</v>
      </c>
      <c r="R55">
        <v>4</v>
      </c>
      <c r="S55">
        <f t="shared" ref="S55:S59" si="22">Q54+N55</f>
        <v>-0.77478951263829643</v>
      </c>
    </row>
    <row r="56" spans="1:19" x14ac:dyDescent="0.35">
      <c r="A56" t="s">
        <v>57</v>
      </c>
      <c r="B56">
        <f>J23+J15-J12-0.5*G2-J9</f>
        <v>-1.3218858680047276</v>
      </c>
      <c r="C56">
        <v>0.19</v>
      </c>
      <c r="D56">
        <f>J9+G6+2*G4-2*G2-J10-G3</f>
        <v>-4.6783303286758464</v>
      </c>
      <c r="E56">
        <v>7</v>
      </c>
      <c r="F56" s="2">
        <f t="shared" si="19"/>
        <v>-1.4259341681183635</v>
      </c>
      <c r="G56">
        <v>6</v>
      </c>
      <c r="H56">
        <f t="shared" si="20"/>
        <v>8.5951699886364141E-2</v>
      </c>
      <c r="L56" t="s">
        <v>57</v>
      </c>
      <c r="M56">
        <f>U23+U15-U12-0.5*R2-U9</f>
        <v>-1.5302126520913362</v>
      </c>
      <c r="N56">
        <v>0.99</v>
      </c>
      <c r="O56">
        <f>U9+R6+2*R4-2*R2-U10-R3</f>
        <v>-4.9165968786757812</v>
      </c>
      <c r="P56">
        <v>7</v>
      </c>
      <c r="Q56" s="2">
        <f t="shared" si="21"/>
        <v>-1.6333568782055359</v>
      </c>
      <c r="R56">
        <v>6</v>
      </c>
      <c r="S56">
        <f t="shared" si="22"/>
        <v>0.88685577388580028</v>
      </c>
    </row>
    <row r="57" spans="1:19" x14ac:dyDescent="0.35">
      <c r="A57" t="s">
        <v>47</v>
      </c>
      <c r="B57">
        <f>G4+J9-J23</f>
        <v>0.19498747283674334</v>
      </c>
      <c r="C57">
        <v>0</v>
      </c>
      <c r="E57">
        <v>9</v>
      </c>
      <c r="F57" s="2">
        <f t="shared" si="19"/>
        <v>-1.2309466952816202</v>
      </c>
      <c r="G57">
        <v>8</v>
      </c>
      <c r="H57">
        <f t="shared" si="20"/>
        <v>-1.4259341681183635</v>
      </c>
      <c r="L57" t="s">
        <v>47</v>
      </c>
      <c r="M57">
        <f>R4+U9-U23</f>
        <v>0.50199914283678027</v>
      </c>
      <c r="N57">
        <v>0</v>
      </c>
      <c r="P57">
        <v>9</v>
      </c>
      <c r="Q57" s="2">
        <f t="shared" si="21"/>
        <v>-1.1313577353687556</v>
      </c>
      <c r="R57">
        <v>8</v>
      </c>
      <c r="S57">
        <f t="shared" si="22"/>
        <v>-1.6333568782055359</v>
      </c>
    </row>
    <row r="58" spans="1:19" x14ac:dyDescent="0.35">
      <c r="A58" t="s">
        <v>58</v>
      </c>
      <c r="B58">
        <f>J19-J15-G3</f>
        <v>-0.74697119172849646</v>
      </c>
      <c r="C58">
        <v>0</v>
      </c>
      <c r="E58">
        <v>11</v>
      </c>
      <c r="F58" s="2">
        <f t="shared" si="19"/>
        <v>-1.9779178870101166</v>
      </c>
      <c r="G58">
        <v>10</v>
      </c>
      <c r="H58">
        <f t="shared" si="20"/>
        <v>-1.2309466952816202</v>
      </c>
      <c r="L58" t="s">
        <v>58</v>
      </c>
      <c r="M58">
        <f>U19-U15-R3</f>
        <v>-1.0976842144857724</v>
      </c>
      <c r="N58">
        <v>0</v>
      </c>
      <c r="P58">
        <v>11</v>
      </c>
      <c r="Q58" s="2">
        <f t="shared" si="21"/>
        <v>-2.229041949854528</v>
      </c>
      <c r="R58">
        <v>10</v>
      </c>
      <c r="S58">
        <f t="shared" si="22"/>
        <v>-1.1313577353687556</v>
      </c>
    </row>
    <row r="59" spans="1:19" x14ac:dyDescent="0.35">
      <c r="A59" t="s">
        <v>59</v>
      </c>
      <c r="B59">
        <f>J20-J19</f>
        <v>9.8112789594893002E-3</v>
      </c>
      <c r="C59">
        <v>0.85</v>
      </c>
      <c r="E59">
        <v>13</v>
      </c>
      <c r="F59" s="2">
        <f t="shared" si="19"/>
        <v>-1.9681066080506273</v>
      </c>
      <c r="G59">
        <v>12</v>
      </c>
      <c r="H59">
        <f t="shared" si="20"/>
        <v>-1.1279178870101165</v>
      </c>
      <c r="L59" t="s">
        <v>59</v>
      </c>
      <c r="M59">
        <f>U20-U19</f>
        <v>-0.23343382382813616</v>
      </c>
      <c r="N59">
        <v>0.86</v>
      </c>
      <c r="P59">
        <v>13</v>
      </c>
      <c r="Q59" s="2">
        <f t="shared" si="21"/>
        <v>-2.4624757736826641</v>
      </c>
      <c r="R59">
        <v>12</v>
      </c>
      <c r="S59">
        <f t="shared" si="22"/>
        <v>-1.3690419498545281</v>
      </c>
    </row>
    <row r="60" spans="1:19" x14ac:dyDescent="0.35">
      <c r="A60" t="s">
        <v>60</v>
      </c>
      <c r="B60">
        <f>J22+J21-J20-0.5*G2-J9</f>
        <v>-3.1502729244625982</v>
      </c>
      <c r="C60">
        <v>0</v>
      </c>
      <c r="F60" s="2"/>
      <c r="L60" t="s">
        <v>60</v>
      </c>
      <c r="M60">
        <f>U22+U21-U20-0.5*R2-U9</f>
        <v>-3.0064631401105544</v>
      </c>
      <c r="N60">
        <v>7.0000000000000007E-2</v>
      </c>
      <c r="Q60" s="2"/>
    </row>
    <row r="61" spans="1:19" x14ac:dyDescent="0.35">
      <c r="A61" t="s">
        <v>46</v>
      </c>
      <c r="B61">
        <f>J23-J22-0.5*G2</f>
        <v>3.8415466991315483E-2</v>
      </c>
      <c r="C61">
        <v>0.52</v>
      </c>
      <c r="F61" s="2"/>
      <c r="L61" t="s">
        <v>46</v>
      </c>
      <c r="M61">
        <f>U23-U22-0.5*R2</f>
        <v>-0.25966999172872285</v>
      </c>
      <c r="N61">
        <v>0.52</v>
      </c>
      <c r="Q61" s="2"/>
    </row>
    <row r="62" spans="1:19" x14ac:dyDescent="0.35">
      <c r="A62" t="s">
        <v>47</v>
      </c>
      <c r="B62">
        <f>G4+J9-J23</f>
        <v>0.19498747283674334</v>
      </c>
      <c r="C62">
        <v>0</v>
      </c>
      <c r="F62" s="2"/>
      <c r="L62" t="s">
        <v>47</v>
      </c>
      <c r="M62">
        <f>R4+U9-U23</f>
        <v>0.50199914283678027</v>
      </c>
      <c r="N62">
        <v>0</v>
      </c>
      <c r="Q62" s="2"/>
    </row>
    <row r="63" spans="1:19" x14ac:dyDescent="0.35">
      <c r="A63" t="s">
        <v>61</v>
      </c>
      <c r="B63">
        <f>G6+J9-J21</f>
        <v>0.20664626400940733</v>
      </c>
      <c r="C63">
        <v>0</v>
      </c>
      <c r="D63">
        <f>SUM(B54:B63)</f>
        <v>-4.6783303286757594</v>
      </c>
      <c r="F63" s="2"/>
      <c r="L63" t="s">
        <v>61</v>
      </c>
      <c r="M63">
        <f>R6+U9-U21</f>
        <v>0.31001288400943849</v>
      </c>
      <c r="N63">
        <v>0</v>
      </c>
      <c r="O63">
        <f>SUM(M54:M63)</f>
        <v>-4.9165968786757226</v>
      </c>
      <c r="Q63" s="2"/>
    </row>
    <row r="64" spans="1:19" x14ac:dyDescent="0.35">
      <c r="A64" t="s">
        <v>62</v>
      </c>
      <c r="B64">
        <f>G5+J9-J20</f>
        <v>-0.16384319427106675</v>
      </c>
      <c r="C64">
        <v>0</v>
      </c>
      <c r="E64">
        <v>15</v>
      </c>
      <c r="F64" s="2">
        <f>F59+B64</f>
        <v>-2.1319498023216941</v>
      </c>
      <c r="G64">
        <v>14</v>
      </c>
      <c r="H64" s="2">
        <f>F59+C64</f>
        <v>-1.9681066080506273</v>
      </c>
      <c r="L64" t="s">
        <v>62</v>
      </c>
      <c r="M64">
        <f>R5+U9-U20</f>
        <v>9.2259421361006844E-2</v>
      </c>
      <c r="N64">
        <v>0</v>
      </c>
      <c r="P64">
        <v>15</v>
      </c>
      <c r="Q64" s="2">
        <f>Q59+M64</f>
        <v>-2.3702163523216573</v>
      </c>
      <c r="R64">
        <v>14</v>
      </c>
      <c r="S64" s="2">
        <f>Q59+N64</f>
        <v>-2.4624757736826641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4BFC-1640-4F38-8167-C1CF54C89F9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electrochemical selectivity</vt:lpstr>
      <vt:lpstr>reaction diagram correct_Pd</vt:lpstr>
      <vt:lpstr>reaction diagram correct_Cu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Chen</dc:creator>
  <cp:lastModifiedBy>Yu Chen</cp:lastModifiedBy>
  <dcterms:created xsi:type="dcterms:W3CDTF">2025-05-28T02:19:43Z</dcterms:created>
  <dcterms:modified xsi:type="dcterms:W3CDTF">2025-05-28T02:31:33Z</dcterms:modified>
</cp:coreProperties>
</file>